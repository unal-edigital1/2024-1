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.shortcut-targets-by-id\1AGYvjK0cpmWd_YJz3x14q-5AJAYlIvs4\LABDIEE\Archivos almacen\Almacen con Amortegui\Presentación inicio de semestre - docentes\2024-1\Archivos para envio profes\"/>
    </mc:Choice>
  </mc:AlternateContent>
  <xr:revisionPtr revIDLastSave="0" documentId="13_ncr:1_{84D8363F-120E-48BE-A05F-65C22D87775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Traslado Externo-PrestamoENcasa" sheetId="5" r:id="rId1"/>
    <sheet name="DATOS" sheetId="6" r:id="rId2"/>
  </sheets>
  <definedNames>
    <definedName name="_xlnm.Print_Area" localSheetId="0">'Traslado Externo-PrestamoENcasa'!$A$1:$O$64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0" i="5" l="1"/>
  <c r="I58" i="5"/>
  <c r="I56" i="5"/>
  <c r="I54" i="5"/>
  <c r="C5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suarez tunjano</author>
    <author>ADMIN</author>
    <author>Windows User</author>
    <author>usuario</author>
  </authors>
  <commentList>
    <comment ref="K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Indicar el consecutivo
</t>
        </r>
      </text>
    </comment>
    <comment ref="D1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nombre del funcionario del LABDIEE</t>
        </r>
      </text>
    </comment>
    <comment ref="D19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nombre del docente de Laboratorio</t>
        </r>
      </text>
    </comment>
    <comment ref="D2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3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</text>
    </comment>
    <comment ref="L23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4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4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4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5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5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5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6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nombre completo del estudiante 1</t>
        </r>
      </text>
    </comment>
    <comment ref="H26" authorId="2" shapeId="0" xr:uid="{00000000-0006-0000-0000-00000E000000}">
      <text>
        <r>
          <rPr>
            <b/>
            <sz val="9"/>
            <color indexed="81"/>
            <rFont val="Tahoma"/>
            <family val="2"/>
          </rPr>
          <t>LABDIEE: digite el correo electronico sin el @unal.edu.co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6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el número de celula</t>
        </r>
      </text>
    </comment>
    <comment ref="D27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que tipo de estudiante es: -Pregrado-Posgrado-Doctorado</t>
        </r>
      </text>
    </comment>
    <comment ref="D28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Digite la Dirección de domicilio en donde reposara el equipo de laboratorio, dirección del "Estudiante 1"</t>
        </r>
      </text>
    </comment>
    <comment ref="B36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Cuando ingresen los equipos, deben de adicionar las palabras </t>
        </r>
        <r>
          <rPr>
            <b/>
            <sz val="9"/>
            <color indexed="81"/>
            <rFont val="Tahoma"/>
            <family val="2"/>
          </rPr>
          <t>"Equipo de menor cuantia"</t>
        </r>
      </text>
    </comment>
    <comment ref="B37" authorId="2" shapeId="0" xr:uid="{00000000-0006-0000-0000-000013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2" shapeId="0" xr:uid="{00000000-0006-0000-0000-000014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9" authorId="2" shapeId="0" xr:uid="{00000000-0006-0000-0000-000015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" authorId="2" shapeId="0" xr:uid="{00000000-0006-0000-0000-000016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1" authorId="2" shapeId="0" xr:uid="{00000000-0006-0000-0000-000017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2" shapeId="0" xr:uid="{89122D6D-7E22-4A52-AB54-0DC9916FBDC9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3" authorId="2" shapeId="0" xr:uid="{A47FF2F7-6F98-43CA-A629-C28E770AC15B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4" authorId="3" shapeId="0" xr:uid="{027890D9-6A95-449F-83C8-5A8EB9B45015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Seleccione el equipo</t>
        </r>
      </text>
    </comment>
    <comment ref="B45" authorId="3" shapeId="0" xr:uid="{A219014C-7613-4654-BE79-75D2F39440CC}">
      <text>
        <r>
          <rPr>
            <b/>
            <sz val="9"/>
            <color indexed="81"/>
            <rFont val="Tahoma"/>
            <family val="2"/>
          </rPr>
          <t>LABDIEE:
Seleccione el equipo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6" authorId="2" shapeId="0" xr:uid="{00000000-0006-0000-0000-000018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7" authorId="2" shapeId="0" xr:uid="{00000000-0006-0000-0000-000019000000}">
      <text>
        <r>
          <rPr>
            <b/>
            <sz val="9"/>
            <color indexed="81"/>
            <rFont val="Tahoma"/>
            <family val="2"/>
          </rPr>
          <t xml:space="preserve">LABDIEE:
Seleccione el equipo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0" authorId="0" shapeId="0" xr:uid="{00000000-0006-0000-0000-00001A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Digite Estudiante 1 carrera, telefono, celular de contacto, dirección</t>
        </r>
        <r>
          <rPr>
            <sz val="9"/>
            <color indexed="81"/>
            <rFont val="Tahoma"/>
            <family val="2"/>
          </rPr>
          <t>.</t>
        </r>
      </text>
    </comment>
    <comment ref="N50" authorId="0" shapeId="0" xr:uid="{00000000-0006-0000-0000-00001B000000}">
      <text>
        <r>
          <rPr>
            <b/>
            <sz val="9"/>
            <color indexed="81"/>
            <rFont val="Tahoma"/>
            <family val="2"/>
          </rPr>
          <t>LABDIEE:</t>
        </r>
        <r>
          <rPr>
            <sz val="9"/>
            <color indexed="81"/>
            <rFont val="Tahoma"/>
            <family val="2"/>
          </rPr>
          <t xml:space="preserve">
Unicamente diligencia el personal del LABDIEE (VERIFICACIÓN EN LA PLATAFORMA TIUN)</t>
        </r>
      </text>
    </comment>
    <comment ref="A51" authorId="0" shapeId="0" xr:uid="{00000000-0006-0000-0000-00001C000000}">
      <text>
        <r>
          <rPr>
            <b/>
            <sz val="9"/>
            <color indexed="81"/>
            <rFont val="Tahoma"/>
            <family val="2"/>
          </rPr>
          <t>LABDIEE:
Digite Estudiante 2 carrera, telefono, celular de contacto, dirección.</t>
        </r>
      </text>
    </comment>
    <comment ref="N51" authorId="0" shapeId="0" xr:uid="{00000000-0006-0000-0000-00001D000000}">
      <text>
        <r>
          <rPr>
            <b/>
            <sz val="9"/>
            <color indexed="81"/>
            <rFont val="Tahoma"/>
            <family val="2"/>
          </rPr>
          <t xml:space="preserve">LABDIEE:
</t>
        </r>
        <r>
          <rPr>
            <sz val="9"/>
            <color indexed="81"/>
            <rFont val="Tahoma"/>
            <family val="2"/>
          </rPr>
          <t>Unicamente diligencia el personal del LABDIEE (VERIFICACIÓN EN LA PLATAFORMA TIUN)</t>
        </r>
      </text>
    </comment>
    <comment ref="A52" authorId="0" shapeId="0" xr:uid="{00000000-0006-0000-0000-00001E000000}">
      <text>
        <r>
          <rPr>
            <b/>
            <sz val="9"/>
            <color indexed="81"/>
            <rFont val="Tahoma"/>
            <family val="2"/>
          </rPr>
          <t>LABDIEE:
Digite Estudiante 3 carrera, telefono, celular de contacto, dirección.</t>
        </r>
      </text>
    </comment>
    <comment ref="N52" authorId="0" shapeId="0" xr:uid="{00000000-0006-0000-0000-00001F000000}">
      <text>
        <r>
          <rPr>
            <sz val="9"/>
            <color indexed="81"/>
            <rFont val="Tahoma"/>
            <family val="2"/>
          </rPr>
          <t>LABDIEE:
Unicamente diligencia el personal del LABDIEE (VERIFICACIÓN EN LA PLATAFORMA TIUN)</t>
        </r>
      </text>
    </comment>
    <comment ref="A53" authorId="0" shapeId="0" xr:uid="{00000000-0006-0000-0000-000020000000}">
      <text>
        <r>
          <rPr>
            <b/>
            <sz val="9"/>
            <color indexed="81"/>
            <rFont val="Tahoma"/>
            <family val="2"/>
          </rPr>
          <t>LABDIEE:
Digite Estudiante 4 carrera, telefono, celular de contacto, dirección.</t>
        </r>
      </text>
    </comment>
    <comment ref="N53" authorId="0" shapeId="0" xr:uid="{00000000-0006-0000-0000-000021000000}">
      <text>
        <r>
          <rPr>
            <b/>
            <sz val="9"/>
            <color indexed="81"/>
            <rFont val="Tahoma"/>
            <family val="2"/>
          </rPr>
          <t xml:space="preserve">LABDIEE:
</t>
        </r>
        <r>
          <rPr>
            <sz val="9"/>
            <color indexed="81"/>
            <rFont val="Tahoma"/>
            <family val="2"/>
          </rPr>
          <t>Unicamente diligencia el personal del LABDIEE (VERIFICACIÓN EN LA PLATAFORMA TIUN)</t>
        </r>
      </text>
    </comment>
  </commentList>
</comments>
</file>

<file path=xl/sharedStrings.xml><?xml version="1.0" encoding="utf-8"?>
<sst xmlns="http://schemas.openxmlformats.org/spreadsheetml/2006/main" count="220" uniqueCount="196">
  <si>
    <t>DESCRIPCION DETALLADA DE LOS BIENES</t>
  </si>
  <si>
    <t>Nº ITEM</t>
  </si>
  <si>
    <t>OBSERVACIONES:</t>
  </si>
  <si>
    <t>FECHA DE TRÁMITE</t>
  </si>
  <si>
    <t xml:space="preserve">Con la presente se autoriza al señor (a): </t>
  </si>
  <si>
    <t>identificado con CC.</t>
  </si>
  <si>
    <t xml:space="preserve">quien actualmente ocupa el cargo de : </t>
  </si>
  <si>
    <t xml:space="preserve">con el objeto de: </t>
  </si>
  <si>
    <t>FECHA SALIDA</t>
  </si>
  <si>
    <t>FECHA DE INGRESO</t>
  </si>
  <si>
    <t>FONDO</t>
  </si>
  <si>
    <t>TRASLADO  EXTERNO</t>
  </si>
  <si>
    <t>TRASLADO INTERNO</t>
  </si>
  <si>
    <t>(De donde pertenece el bien)</t>
  </si>
  <si>
    <t>CANT</t>
  </si>
  <si>
    <t>Página 1 de 1</t>
  </si>
  <si>
    <t>Nombre formato: Solicitud movimiento transitorio de bienes</t>
  </si>
  <si>
    <t>x</t>
  </si>
  <si>
    <t xml:space="preserve">                                NUMERO DE CONSECUTIVO</t>
  </si>
  <si>
    <t xml:space="preserve">Macroproceso: Laboratorio de eléctrica y electrónica </t>
  </si>
  <si>
    <t>Proceso: Facultad de Ingenieria eléctrica y electrónica</t>
  </si>
  <si>
    <t xml:space="preserve">ENCARGADO DEPENDENCIA: </t>
  </si>
  <si>
    <t xml:space="preserve">Laboratorios Facultad de Ingenieria Eléctrica y Electrónica </t>
  </si>
  <si>
    <t>DEPENDENCIA:</t>
  </si>
  <si>
    <t>JEFE DEPENDENCIA:</t>
  </si>
  <si>
    <t xml:space="preserve">Cargo: </t>
  </si>
  <si>
    <t>Coordinador Laboratorios de Ingenieria Eléctrica y Electrónica</t>
  </si>
  <si>
    <t>y son directamente responsables a cualquier tipo de siniestro (Daño, pérdida o extravió) por lo cual asumirán total responsabilidad desde que los equipos salen de la Universidad</t>
  </si>
  <si>
    <t>para trasladar de esta dependencia los elementos relacionados a continuación</t>
  </si>
  <si>
    <t xml:space="preserve"> con destino a: </t>
  </si>
  <si>
    <t>Integrantes del grupo:</t>
  </si>
  <si>
    <t>Equipo devuelto</t>
  </si>
  <si>
    <t>Verificación personal LABDIEE-TIUN</t>
  </si>
  <si>
    <t>Estudiante 1</t>
  </si>
  <si>
    <t>Estudiante 2</t>
  </si>
  <si>
    <t>Estudiante 3</t>
  </si>
  <si>
    <t>Estudiante 4</t>
  </si>
  <si>
    <t>FIRMA ENCARGADO DEPENDENCIA</t>
  </si>
  <si>
    <t>FIRMA ESTUDIANTE 1</t>
  </si>
  <si>
    <t>FIRMA ESTUDIANTE 2</t>
  </si>
  <si>
    <t>FIRMA ESTUDIANTE 3</t>
  </si>
  <si>
    <t>FIRMA ESTUDIANTE 4</t>
  </si>
  <si>
    <t>Equipo de trabajo:</t>
  </si>
  <si>
    <t>Docente</t>
  </si>
  <si>
    <t>Asignatura</t>
  </si>
  <si>
    <t>Encargado Dependencia</t>
  </si>
  <si>
    <t>Alejandro Suarez Tunjano</t>
  </si>
  <si>
    <t>CIRCUITOS ELECTRICOS II</t>
  </si>
  <si>
    <t>COMUNICACIONES</t>
  </si>
  <si>
    <t>CONTROL</t>
  </si>
  <si>
    <t>ELECTRONICA ANALOGA I</t>
  </si>
  <si>
    <t>ELECTRONICA ANALOGA II</t>
  </si>
  <si>
    <t>ELECTRONICA DE POTENCIA</t>
  </si>
  <si>
    <t>ELECTRONICA DIGITAL I</t>
  </si>
  <si>
    <t>ELECTRONICA DIGITAL II</t>
  </si>
  <si>
    <t>INSTRUMENTACION Y MEDIDAS</t>
  </si>
  <si>
    <t>TALLER DE INGENIERIA</t>
  </si>
  <si>
    <t>TALLER DE INGENIERIA ELECTRICA</t>
  </si>
  <si>
    <t>TALLER DE INGENIERIA ELECTRONICA</t>
  </si>
  <si>
    <t>LABORATORIO DE CONVERSION ELECTROMAGNETICA</t>
  </si>
  <si>
    <t>INSTALACIONES Y MAQUINAS ELECTRICAS</t>
  </si>
  <si>
    <t>Francisco Javier Amortegui Gil</t>
  </si>
  <si>
    <t>Cargo Docente</t>
  </si>
  <si>
    <t>Docente de Laboratorio</t>
  </si>
  <si>
    <t>Tipo de estudiante</t>
  </si>
  <si>
    <t>Objeto de salida equipos</t>
  </si>
  <si>
    <t>Con el objeto de realizar práctica de laboratorios en casa</t>
  </si>
  <si>
    <t>Cantidad</t>
  </si>
  <si>
    <t>Espacio personal LABDIEE</t>
  </si>
  <si>
    <t>Equipo Entregado
(Serie)</t>
  </si>
  <si>
    <t>Descripción Equipos</t>
  </si>
  <si>
    <t>Osciloscopio USB (VDS1022I)</t>
  </si>
  <si>
    <t>Generador de señales ICL8038</t>
  </si>
  <si>
    <t>Punta para osciloscopio 100MHz</t>
  </si>
  <si>
    <t>Analizador de red, VNA. 3G de analizador de red 50KHz-3GHz</t>
  </si>
  <si>
    <t>Punta de prueba BNC a caimán</t>
  </si>
  <si>
    <t>Arduino UNO</t>
  </si>
  <si>
    <t>Multimetro digital y true RMS</t>
  </si>
  <si>
    <t>Tarjeta de desarrollo Altera Cyclone IV</t>
  </si>
  <si>
    <t>Tarjeta de desarrollo Altera OpenEP4CE6-C</t>
  </si>
  <si>
    <t>Conector DC Bornera Jack Hembra</t>
  </si>
  <si>
    <t>Kit de cables caiman-caiman x 10</t>
  </si>
  <si>
    <t>Multimetro Digital OWON OW16B</t>
  </si>
  <si>
    <t>(Fuente de tensión) Adaptador 12V 2A</t>
  </si>
  <si>
    <t>(Fuente de tensión) Adaptador 12V 3A</t>
  </si>
  <si>
    <t>Tarjeta compatible UNO SMD</t>
  </si>
  <si>
    <t>Tarjeta de desarrollo DevKit32 ESP32</t>
  </si>
  <si>
    <t>Vector Network Analyxzer 3G</t>
  </si>
  <si>
    <t>Cable sonda BNC-Caiman caiman</t>
  </si>
  <si>
    <t>Analizador de espectros 4G</t>
  </si>
  <si>
    <t>OSCILOSCOPIO PARA PC 2CH 100MHZ + GENERADOR 5MHZ</t>
  </si>
  <si>
    <t>Personal LABDIEE</t>
  </si>
  <si>
    <t>Grupo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</si>
  <si>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</si>
  <si>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</si>
  <si>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</si>
  <si>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</si>
  <si>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</si>
  <si>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</si>
  <si>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</si>
  <si>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</si>
  <si>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</si>
  <si>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</si>
  <si>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</si>
  <si>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</si>
  <si>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</si>
  <si>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</si>
  <si>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</si>
  <si>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Equipo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</si>
  <si>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</si>
  <si>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</si>
  <si>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</si>
  <si>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</si>
  <si>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</si>
  <si>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</si>
  <si>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</si>
  <si>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</si>
  <si>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</si>
  <si>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</si>
  <si>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</si>
  <si>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</si>
  <si>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</si>
  <si>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</si>
  <si>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</si>
  <si>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Grupo inscrito en el SIA:</t>
  </si>
  <si>
    <t>ASIGNATURA DE LABORATORIO:</t>
  </si>
  <si>
    <t>DOCENTE DE LABDIEE</t>
  </si>
  <si>
    <t>"Realizar práctica de laboratorios en casa"</t>
  </si>
  <si>
    <t>(REFERENCIA EQUIPO  - EQUIPOS DE MENOR CUANTIA)</t>
  </si>
  <si>
    <t>EQUIPOS DE MENOR CUANTIA</t>
  </si>
  <si>
    <t>Estudiante Pregrado</t>
  </si>
  <si>
    <t>Estudiante Posgrado</t>
  </si>
  <si>
    <t>Estudiante Doctorado</t>
  </si>
  <si>
    <t>SDR - Nooelec -NESDR mini 2</t>
  </si>
  <si>
    <t>Transformador monofasico</t>
  </si>
  <si>
    <t>COMUNICACIONES INALAMBRICAS</t>
  </si>
  <si>
    <t>USRP Ettus Research B20_ Mini</t>
  </si>
  <si>
    <t>correo:</t>
  </si>
  <si>
    <t>Tarjeta FPGA BlackIce II</t>
  </si>
  <si>
    <t>NOTA: Una vez recibidos los equipos, los estudiantes deberan registrar al respaldo de este formato un listado con los equipos y accesorios recibidos.</t>
  </si>
  <si>
    <t>DOCENTE A CARGO:</t>
  </si>
  <si>
    <t>DISEÑO DE SISTEMAS ELECTRONICOS</t>
  </si>
  <si>
    <t>CIRCUITOS INTEGRADOS LINEALES Y APLICACIONES</t>
  </si>
  <si>
    <t>William Ivan Neira Gonzalez</t>
  </si>
  <si>
    <t>Julio Enrique Reyes Soler</t>
  </si>
  <si>
    <t>Nexys IV</t>
  </si>
  <si>
    <t xml:space="preserve"> Diego Fernando Munoz Velandia </t>
  </si>
  <si>
    <t xml:space="preserve"> Edwin Fernando Pineda Vargas </t>
  </si>
  <si>
    <t xml:space="preserve"> Francisco Javier Amortegui Gil </t>
  </si>
  <si>
    <t xml:space="preserve"> Giovanny Aldemar Baquero Rozo </t>
  </si>
  <si>
    <t xml:space="preserve"> Johnny German Cubides Castro </t>
  </si>
  <si>
    <t xml:space="preserve"> Oscar German Duarte Velasco </t>
  </si>
  <si>
    <t xml:space="preserve"> Paula Andrea Mozuca Tamayo </t>
  </si>
  <si>
    <t xml:space="preserve"> Sergio Raul Rivera Rodriguez </t>
  </si>
  <si>
    <t xml:space="preserve">1a. Copia:   Almácen DIEE UNAL.  
2a. Copia:   Interesado
</t>
  </si>
  <si>
    <t>Analizador de red, VNA. 3G de analizador de red 50KHz-3GHz+Pantalla</t>
  </si>
  <si>
    <t>jgcubidesc@unal.edu.co</t>
  </si>
  <si>
    <t>Javier Enrique Arevalo Peña</t>
  </si>
  <si>
    <t>jarevalop@unal.edu.co</t>
  </si>
  <si>
    <t>Jhon Jairo Ramirez Echeverry</t>
  </si>
  <si>
    <t xml:space="preserve">jjramireze@unal.edu.co </t>
  </si>
  <si>
    <t>efpinedava@unal.edu.co</t>
  </si>
  <si>
    <t>Carlos Alberto Cusgüen Gomez</t>
  </si>
  <si>
    <t>cacusgueng@unal.edu.co</t>
  </si>
  <si>
    <t>dfmunozv@unal.edu.co</t>
  </si>
  <si>
    <t>fjamorteguig@unal.edu.co</t>
  </si>
  <si>
    <t>gabaqueror@unal.edu.co</t>
  </si>
  <si>
    <t>ogduartev@unal.edu.co</t>
  </si>
  <si>
    <t>asuarezt@unal.edu.co</t>
  </si>
  <si>
    <t>pamozucat@unal.edu.co</t>
  </si>
  <si>
    <t>Daniel Rodriguez Manrique</t>
  </si>
  <si>
    <t>srriverar@unal.edu.co</t>
  </si>
  <si>
    <t>Alexis Cuero Losada</t>
  </si>
  <si>
    <t>acuerol@unal.edu.co</t>
  </si>
  <si>
    <t>Julio Sebastian Diaz Leon</t>
  </si>
  <si>
    <t>judiazl@unal.edu.co</t>
  </si>
  <si>
    <t>sgelvezo@unal.edu.co</t>
  </si>
  <si>
    <t>2024-01-________</t>
  </si>
  <si>
    <t>Vigencia</t>
  </si>
  <si>
    <t xml:space="preserve">danrodriguezman@unal.edu.co </t>
  </si>
  <si>
    <t xml:space="preserve">Samuel Andrey Gelvez Osorio </t>
  </si>
  <si>
    <t xml:space="preserve">Carlos Eduardo Sanchez Diaz </t>
  </si>
  <si>
    <t>cesanchezd@unal.edu.co</t>
  </si>
  <si>
    <t>slinaresr@unal.edu.co</t>
  </si>
  <si>
    <t>Sebastian Linares Rugeles</t>
  </si>
  <si>
    <t xml:space="preserve">Jefferson Sarmiento Rojas </t>
  </si>
  <si>
    <t>jesarmientor@unal.edu.co</t>
  </si>
  <si>
    <t xml:space="preserve">Gloria Margarita Varon Duran </t>
  </si>
  <si>
    <t>gmvarond@unal.edu.co</t>
  </si>
  <si>
    <t xml:space="preserve">Javier Leonardo Araque Quijano </t>
  </si>
  <si>
    <t>jlaraqueq@unal.edu.co</t>
  </si>
  <si>
    <t>Tarjeta onion computadora linux wi-fi con pantalla tactil OM-02dash</t>
  </si>
  <si>
    <t xml:space="preserve">Tarjeta de control receptora colorlight </t>
  </si>
  <si>
    <t>(Osciloscopio)DSO FNIRSI PRO</t>
  </si>
  <si>
    <t xml:space="preserve">Ferney Alberto Beltran Molina </t>
  </si>
  <si>
    <t>fabeltranm@unal.edu.co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</si>
</sst>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3"/>
      <color theme="1"/>
      <name val="Ancizar Sans"/>
      <family val="2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1"/>
      <color rgb="FFFF0000"/>
      <name val="Arial"/>
      <family val="2"/>
    </font>
    <font>
      <sz val="11"/>
      <color rgb="FF3C404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2">
    <xf numFmtId="0" fontId="0" fillId="0" borderId="0" xfId="0"/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quotePrefix="1" applyFont="1" applyAlignment="1">
      <alignment horizontal="left" vertical="center"/>
    </xf>
    <xf numFmtId="0" fontId="4" fillId="0" borderId="0" xfId="0" quotePrefix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" fontId="5" fillId="0" borderId="3" xfId="0" quotePrefix="1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Alignment="1">
      <alignment horizontal="center" vertical="top" wrapText="1"/>
    </xf>
    <xf numFmtId="0" fontId="0" fillId="0" borderId="3" xfId="0" applyBorder="1" applyAlignment="1">
      <alignment horizontal="center" vertical="top"/>
    </xf>
    <xf numFmtId="0" fontId="16" fillId="4" borderId="3" xfId="0" applyFont="1" applyFill="1" applyBorder="1" applyAlignment="1">
      <alignment horizontal="center" vertical="top"/>
    </xf>
    <xf numFmtId="0" fontId="0" fillId="0" borderId="3" xfId="0" applyBorder="1"/>
    <xf numFmtId="0" fontId="16" fillId="4" borderId="11" xfId="0" applyFont="1" applyFill="1" applyBorder="1" applyAlignment="1">
      <alignment horizontal="center" vertical="top"/>
    </xf>
    <xf numFmtId="0" fontId="0" fillId="0" borderId="3" xfId="0" applyBorder="1" applyAlignment="1">
      <alignment horizontal="center" vertical="center"/>
    </xf>
    <xf numFmtId="0" fontId="0" fillId="0" borderId="0" xfId="0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4" fillId="0" borderId="0" xfId="0" quotePrefix="1" applyFont="1" applyAlignment="1">
      <alignment vertical="center"/>
    </xf>
    <xf numFmtId="0" fontId="5" fillId="0" borderId="0" xfId="0" quotePrefix="1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3" xfId="0" applyFont="1" applyFill="1" applyBorder="1" applyAlignment="1">
      <alignment horizontal="center" vertical="center" wrapText="1"/>
    </xf>
    <xf numFmtId="1" fontId="8" fillId="0" borderId="3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vertical="center" wrapText="1"/>
    </xf>
    <xf numFmtId="1" fontId="6" fillId="0" borderId="3" xfId="0" quotePrefix="1" applyNumberFormat="1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5" fillId="0" borderId="1" xfId="0" quotePrefix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7" fillId="3" borderId="7" xfId="0" applyFont="1" applyFill="1" applyBorder="1" applyAlignment="1">
      <alignment horizontal="center" vertical="top"/>
    </xf>
    <xf numFmtId="0" fontId="17" fillId="3" borderId="6" xfId="0" applyFont="1" applyFill="1" applyBorder="1" applyAlignment="1">
      <alignment horizontal="center" vertical="top"/>
    </xf>
    <xf numFmtId="0" fontId="17" fillId="3" borderId="7" xfId="0" applyFont="1" applyFill="1" applyBorder="1" applyAlignment="1">
      <alignment horizontal="center" vertical="top" wrapText="1"/>
    </xf>
    <xf numFmtId="0" fontId="17" fillId="0" borderId="7" xfId="0" applyFont="1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0" fillId="0" borderId="3" xfId="0" applyFont="1" applyBorder="1" applyAlignment="1">
      <alignment horizontal="center" vertical="top"/>
    </xf>
    <xf numFmtId="0" fontId="19" fillId="0" borderId="3" xfId="0" applyFont="1" applyBorder="1"/>
    <xf numFmtId="0" fontId="21" fillId="0" borderId="11" xfId="1" applyFill="1" applyBorder="1"/>
    <xf numFmtId="0" fontId="21" fillId="0" borderId="3" xfId="1" applyFill="1" applyBorder="1"/>
    <xf numFmtId="0" fontId="22" fillId="0" borderId="0" xfId="0" applyFont="1"/>
    <xf numFmtId="0" fontId="4" fillId="0" borderId="0" xfId="0" applyFont="1" applyAlignment="1">
      <alignment horizontal="left" vertical="center"/>
    </xf>
    <xf numFmtId="1" fontId="6" fillId="0" borderId="7" xfId="0" quotePrefix="1" applyNumberFormat="1" applyFont="1" applyBorder="1" applyAlignment="1">
      <alignment horizontal="center" vertical="center" wrapText="1"/>
    </xf>
    <xf numFmtId="1" fontId="6" fillId="0" borderId="8" xfId="0" quotePrefix="1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9" fillId="0" borderId="7" xfId="0" quotePrefix="1" applyFont="1" applyBorder="1" applyAlignment="1" applyProtection="1">
      <alignment horizontal="center" vertical="center" wrapText="1"/>
      <protection locked="0"/>
    </xf>
    <xf numFmtId="0" fontId="9" fillId="0" borderId="4" xfId="0" quotePrefix="1" applyFont="1" applyBorder="1" applyAlignment="1" applyProtection="1">
      <alignment horizontal="center" vertical="center" wrapText="1"/>
      <protection locked="0"/>
    </xf>
    <xf numFmtId="0" fontId="9" fillId="0" borderId="8" xfId="0" quotePrefix="1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6" fillId="0" borderId="3" xfId="0" quotePrefix="1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1" fontId="6" fillId="0" borderId="4" xfId="0" quotePrefix="1" applyNumberFormat="1" applyFont="1" applyBorder="1" applyAlignment="1">
      <alignment horizontal="center" vertical="center" wrapText="1"/>
    </xf>
    <xf numFmtId="0" fontId="6" fillId="0" borderId="7" xfId="0" quotePrefix="1" applyFont="1" applyBorder="1" applyAlignment="1">
      <alignment horizontal="left" vertical="center" wrapText="1"/>
    </xf>
    <xf numFmtId="0" fontId="6" fillId="0" borderId="4" xfId="0" quotePrefix="1" applyFont="1" applyBorder="1" applyAlignment="1">
      <alignment horizontal="left" vertical="center" wrapText="1"/>
    </xf>
    <xf numFmtId="0" fontId="6" fillId="0" borderId="8" xfId="0" quotePrefix="1" applyFont="1" applyBorder="1" applyAlignment="1">
      <alignment horizontal="left" vertical="center" wrapText="1"/>
    </xf>
    <xf numFmtId="0" fontId="6" fillId="0" borderId="7" xfId="0" applyFont="1" applyBorder="1" applyAlignment="1" applyProtection="1">
      <alignment horizontal="left" vertical="center"/>
      <protection locked="0"/>
    </xf>
    <xf numFmtId="0" fontId="6" fillId="0" borderId="4" xfId="0" applyFont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0" xfId="0" quotePrefix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" xfId="0" quotePrefix="1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5" fillId="0" borderId="0" xfId="0" quotePrefix="1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1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14" fontId="8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31597</xdr:colOff>
      <xdr:row>0</xdr:row>
      <xdr:rowOff>73783</xdr:rowOff>
    </xdr:from>
    <xdr:to>
      <xdr:col>14</xdr:col>
      <xdr:colOff>10885</xdr:colOff>
      <xdr:row>5</xdr:row>
      <xdr:rowOff>79789</xdr:rowOff>
    </xdr:to>
    <xdr:pic>
      <xdr:nvPicPr>
        <xdr:cNvPr id="2" name="3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3" r="5660" b="13511"/>
        <a:stretch/>
      </xdr:blipFill>
      <xdr:spPr bwMode="auto">
        <a:xfrm>
          <a:off x="8413597" y="73783"/>
          <a:ext cx="2265288" cy="9870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cuerol@unal.edu.co" TargetMode="External"/><Relationship Id="rId13" Type="http://schemas.openxmlformats.org/officeDocument/2006/relationships/hyperlink" Target="mailto:jarevalop@unal.edu.co" TargetMode="External"/><Relationship Id="rId18" Type="http://schemas.openxmlformats.org/officeDocument/2006/relationships/hyperlink" Target="mailto:gmvarond@unal.edu.co" TargetMode="External"/><Relationship Id="rId3" Type="http://schemas.openxmlformats.org/officeDocument/2006/relationships/hyperlink" Target="mailto:fjamorteguig@unal.edu.co" TargetMode="External"/><Relationship Id="rId7" Type="http://schemas.openxmlformats.org/officeDocument/2006/relationships/hyperlink" Target="mailto:jjramireze@unal.edu.co" TargetMode="External"/><Relationship Id="rId12" Type="http://schemas.openxmlformats.org/officeDocument/2006/relationships/hyperlink" Target="mailto:asuarezt@unal.edu.co" TargetMode="External"/><Relationship Id="rId17" Type="http://schemas.openxmlformats.org/officeDocument/2006/relationships/hyperlink" Target="mailto:judiazl@unal.edu.co" TargetMode="External"/><Relationship Id="rId2" Type="http://schemas.openxmlformats.org/officeDocument/2006/relationships/hyperlink" Target="mailto:dfmunozv@unal.edu.co" TargetMode="External"/><Relationship Id="rId16" Type="http://schemas.openxmlformats.org/officeDocument/2006/relationships/hyperlink" Target="mailto:cacusgueng@unal.edu.co" TargetMode="External"/><Relationship Id="rId20" Type="http://schemas.openxmlformats.org/officeDocument/2006/relationships/hyperlink" Target="mailto:fabeltranm@unal.edu.co" TargetMode="External"/><Relationship Id="rId1" Type="http://schemas.openxmlformats.org/officeDocument/2006/relationships/hyperlink" Target="mailto:efpinedava@unal.edu.co" TargetMode="External"/><Relationship Id="rId6" Type="http://schemas.openxmlformats.org/officeDocument/2006/relationships/hyperlink" Target="mailto:pamozucat@unal.edu.co" TargetMode="External"/><Relationship Id="rId11" Type="http://schemas.openxmlformats.org/officeDocument/2006/relationships/hyperlink" Target="mailto:jesarmientor@unal.edu.co" TargetMode="External"/><Relationship Id="rId5" Type="http://schemas.openxmlformats.org/officeDocument/2006/relationships/hyperlink" Target="mailto:ogduartev@unal.edu.co" TargetMode="External"/><Relationship Id="rId15" Type="http://schemas.openxmlformats.org/officeDocument/2006/relationships/hyperlink" Target="mailto:srriverar@unal.edu.co" TargetMode="External"/><Relationship Id="rId10" Type="http://schemas.openxmlformats.org/officeDocument/2006/relationships/hyperlink" Target="mailto:cesanchezd@unal.edu.co" TargetMode="External"/><Relationship Id="rId19" Type="http://schemas.openxmlformats.org/officeDocument/2006/relationships/hyperlink" Target="mailto:jlaraqueq@unal.edu.co" TargetMode="External"/><Relationship Id="rId4" Type="http://schemas.openxmlformats.org/officeDocument/2006/relationships/hyperlink" Target="mailto:gabaqueror@unal.edu.co" TargetMode="External"/><Relationship Id="rId9" Type="http://schemas.openxmlformats.org/officeDocument/2006/relationships/hyperlink" Target="mailto:sgelvezo@unal.edu.co" TargetMode="External"/><Relationship Id="rId14" Type="http://schemas.openxmlformats.org/officeDocument/2006/relationships/hyperlink" Target="mailto:jgcubidesc@unal.edu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64"/>
  <sheetViews>
    <sheetView tabSelected="1" view="pageBreakPreview" zoomScaleNormal="100" zoomScaleSheetLayoutView="100" workbookViewId="0">
      <selection activeCell="O19" sqref="O19"/>
    </sheetView>
  </sheetViews>
  <sheetFormatPr baseColWidth="10" defaultRowHeight="15" x14ac:dyDescent="0.25"/>
  <cols>
    <col min="1" max="16384" width="11.42578125" style="16"/>
  </cols>
  <sheetData>
    <row r="1" spans="1:15" x14ac:dyDescent="0.25">
      <c r="A1" s="1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/>
    </row>
    <row r="2" spans="1:15" x14ac:dyDescent="0.25">
      <c r="A2" s="1"/>
      <c r="B2" s="28"/>
      <c r="C2" s="28"/>
      <c r="D2" s="2"/>
      <c r="E2" s="2"/>
      <c r="F2" s="2"/>
      <c r="G2" s="2"/>
      <c r="H2" s="2"/>
      <c r="I2" s="2"/>
      <c r="J2" s="2"/>
      <c r="K2" s="41"/>
      <c r="L2" s="30"/>
      <c r="M2" s="30"/>
      <c r="N2" s="30"/>
      <c r="O2"/>
    </row>
    <row r="3" spans="1:15" ht="15.75" x14ac:dyDescent="0.25">
      <c r="A3" s="6" t="s">
        <v>19</v>
      </c>
      <c r="B3" s="4"/>
      <c r="C3" s="5"/>
      <c r="D3" s="5"/>
      <c r="E3" s="5"/>
      <c r="F3" s="5"/>
      <c r="G3" s="2"/>
      <c r="H3" s="2"/>
      <c r="I3" s="2"/>
      <c r="J3" s="2"/>
      <c r="K3" s="30"/>
      <c r="L3" s="30"/>
      <c r="M3" s="30"/>
      <c r="N3" s="30"/>
      <c r="O3"/>
    </row>
    <row r="4" spans="1:15" ht="15.75" x14ac:dyDescent="0.25">
      <c r="A4" s="6" t="s">
        <v>20</v>
      </c>
      <c r="B4" s="4"/>
      <c r="C4" s="5"/>
      <c r="D4" s="5"/>
      <c r="E4" s="5"/>
      <c r="F4" s="5"/>
      <c r="G4" s="2"/>
      <c r="H4" s="2"/>
      <c r="I4" s="2"/>
      <c r="J4" s="2"/>
      <c r="K4" s="29"/>
      <c r="L4" s="30"/>
      <c r="M4" s="30"/>
      <c r="N4" s="30"/>
      <c r="O4"/>
    </row>
    <row r="5" spans="1:15" ht="15.75" x14ac:dyDescent="0.25">
      <c r="A5" s="3" t="s">
        <v>16</v>
      </c>
      <c r="B5" s="4"/>
      <c r="C5" s="4"/>
      <c r="D5" s="5"/>
      <c r="E5" s="5"/>
      <c r="F5" s="5"/>
      <c r="G5" s="2"/>
      <c r="H5" s="2"/>
      <c r="I5" s="2"/>
      <c r="J5" s="2"/>
      <c r="K5" s="30"/>
      <c r="L5" s="30"/>
      <c r="M5" s="30"/>
      <c r="N5" s="30"/>
      <c r="O5"/>
    </row>
    <row r="6" spans="1:15" x14ac:dyDescent="0.25">
      <c r="A6" s="28"/>
      <c r="B6" s="28"/>
      <c r="C6" s="2"/>
      <c r="D6" s="2"/>
      <c r="E6" s="2"/>
      <c r="F6" s="2"/>
      <c r="G6" s="2"/>
      <c r="H6" s="2"/>
      <c r="I6" s="2"/>
      <c r="J6" s="2"/>
      <c r="K6" s="29"/>
      <c r="L6" s="29"/>
      <c r="M6" s="30"/>
      <c r="N6" s="30"/>
      <c r="O6"/>
    </row>
    <row r="7" spans="1:15" s="1" customFormat="1" ht="16.5" customHeight="1" x14ac:dyDescent="0.25">
      <c r="A7" s="28"/>
      <c r="B7" s="28"/>
      <c r="C7" s="28"/>
      <c r="D7" s="28"/>
      <c r="E7" s="31" t="s">
        <v>10</v>
      </c>
      <c r="F7" s="102">
        <v>2018</v>
      </c>
      <c r="G7" s="102"/>
      <c r="H7" s="102"/>
      <c r="I7" s="28"/>
      <c r="J7" s="28"/>
      <c r="K7" s="31" t="s">
        <v>178</v>
      </c>
      <c r="L7" s="102">
        <v>2024</v>
      </c>
      <c r="M7" s="102"/>
      <c r="N7" s="102"/>
      <c r="O7" s="28"/>
    </row>
    <row r="8" spans="1:15" s="1" customFormat="1" ht="12.75" customHeight="1" x14ac:dyDescent="0.25">
      <c r="A8" s="28"/>
      <c r="B8" s="28"/>
      <c r="C8" s="28"/>
      <c r="D8" s="28"/>
      <c r="E8" s="31"/>
      <c r="F8" s="32"/>
      <c r="G8" s="32"/>
      <c r="H8" s="32"/>
      <c r="I8" s="28"/>
      <c r="J8" s="28"/>
      <c r="K8" s="28"/>
      <c r="L8" s="28"/>
      <c r="M8" s="28"/>
      <c r="N8" s="28"/>
      <c r="O8" s="28"/>
    </row>
    <row r="9" spans="1:15" s="1" customFormat="1" ht="20.25" customHeight="1" x14ac:dyDescent="0.25">
      <c r="A9" s="103" t="s">
        <v>3</v>
      </c>
      <c r="B9" s="103"/>
      <c r="C9" s="104"/>
      <c r="D9" s="104"/>
      <c r="E9" s="104"/>
      <c r="F9" s="104"/>
      <c r="G9" s="33"/>
      <c r="H9" s="34"/>
      <c r="I9" s="34"/>
      <c r="J9" s="35" t="s">
        <v>18</v>
      </c>
      <c r="K9" s="105" t="s">
        <v>177</v>
      </c>
      <c r="L9" s="105"/>
      <c r="M9" s="105"/>
      <c r="N9" s="105"/>
      <c r="O9" s="30"/>
    </row>
    <row r="10" spans="1:15" s="1" customFormat="1" ht="10.5" customHeight="1" x14ac:dyDescent="0.25">
      <c r="A10" s="33"/>
      <c r="B10" s="33"/>
      <c r="C10" s="28"/>
      <c r="D10" s="28"/>
      <c r="E10" s="36"/>
      <c r="F10" s="33"/>
      <c r="G10" s="33"/>
      <c r="H10" s="34"/>
      <c r="I10" s="34"/>
      <c r="J10" s="37"/>
      <c r="K10" s="30"/>
      <c r="L10" s="30"/>
      <c r="M10" s="33"/>
      <c r="N10" s="33"/>
      <c r="O10" s="30"/>
    </row>
    <row r="11" spans="1:15" s="1" customFormat="1" ht="20.25" customHeight="1" x14ac:dyDescent="0.25">
      <c r="A11" s="103" t="s">
        <v>12</v>
      </c>
      <c r="B11" s="103"/>
      <c r="C11" s="106"/>
      <c r="D11" s="106"/>
      <c r="E11" s="106"/>
      <c r="F11" s="106"/>
      <c r="G11" s="28"/>
      <c r="H11" s="107" t="s">
        <v>11</v>
      </c>
      <c r="I11" s="107"/>
      <c r="J11" s="107"/>
      <c r="K11" s="106" t="s">
        <v>17</v>
      </c>
      <c r="L11" s="106"/>
      <c r="M11" s="106"/>
      <c r="N11" s="106"/>
      <c r="O11" s="28"/>
    </row>
    <row r="12" spans="1:15" s="1" customFormat="1" ht="9" customHeight="1" x14ac:dyDescent="0.25">
      <c r="A12" s="2"/>
      <c r="B12" s="2"/>
      <c r="C12" s="38"/>
      <c r="D12" s="38"/>
      <c r="E12" s="38"/>
      <c r="F12" s="37"/>
      <c r="G12" s="37"/>
      <c r="H12" s="39"/>
      <c r="I12" s="34"/>
      <c r="J12" s="37"/>
      <c r="K12" s="37"/>
      <c r="L12" s="37"/>
      <c r="M12" s="37"/>
      <c r="N12" s="37"/>
      <c r="O12" s="30"/>
    </row>
    <row r="13" spans="1:15" s="1" customFormat="1" ht="23.25" customHeight="1" x14ac:dyDescent="0.25">
      <c r="A13" s="2" t="s">
        <v>23</v>
      </c>
      <c r="B13" s="2"/>
      <c r="C13" s="90" t="s">
        <v>22</v>
      </c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2"/>
    </row>
    <row r="14" spans="1:15" s="1" customFormat="1" ht="18.75" customHeight="1" x14ac:dyDescent="0.25">
      <c r="A14" s="40" t="s">
        <v>13</v>
      </c>
      <c r="B14" s="2"/>
      <c r="C14" s="40"/>
      <c r="D14" s="38"/>
      <c r="E14" s="38"/>
      <c r="F14" s="37"/>
      <c r="G14" s="37"/>
      <c r="H14" s="39"/>
      <c r="I14" s="34"/>
      <c r="J14" s="37"/>
      <c r="K14" s="37"/>
      <c r="L14" s="37"/>
      <c r="M14" s="37"/>
      <c r="N14" s="37"/>
      <c r="O14" s="30"/>
    </row>
    <row r="15" spans="1:15" s="1" customFormat="1" ht="26.25" customHeight="1" x14ac:dyDescent="0.25">
      <c r="A15" s="68" t="s">
        <v>21</v>
      </c>
      <c r="B15" s="68"/>
      <c r="C15" s="68"/>
      <c r="D15" s="89" t="s">
        <v>46</v>
      </c>
      <c r="E15" s="89"/>
      <c r="F15" s="89"/>
      <c r="G15" s="89"/>
      <c r="H15" s="89"/>
      <c r="I15" s="89"/>
      <c r="J15" s="42" t="s">
        <v>25</v>
      </c>
      <c r="K15" s="90" t="s">
        <v>91</v>
      </c>
      <c r="L15" s="90"/>
      <c r="M15" s="90"/>
      <c r="N15" s="90"/>
      <c r="O15" s="30"/>
    </row>
    <row r="16" spans="1:15" s="1" customFormat="1" ht="9" customHeight="1" x14ac:dyDescent="0.25">
      <c r="A16" s="24"/>
      <c r="B16" s="24"/>
      <c r="C16" s="24"/>
      <c r="D16" s="7"/>
      <c r="E16" s="7"/>
      <c r="F16" s="7"/>
      <c r="G16" s="7"/>
      <c r="H16" s="7"/>
      <c r="I16" s="7"/>
      <c r="J16" s="7"/>
      <c r="K16" s="8"/>
      <c r="L16" s="8"/>
      <c r="M16" s="8"/>
      <c r="N16" s="8"/>
      <c r="O16" s="18"/>
    </row>
    <row r="17" spans="1:15" s="1" customFormat="1" ht="26.25" customHeight="1" x14ac:dyDescent="0.25">
      <c r="A17" s="68" t="s">
        <v>24</v>
      </c>
      <c r="B17" s="68"/>
      <c r="C17" s="68"/>
      <c r="D17" s="90" t="s">
        <v>61</v>
      </c>
      <c r="E17" s="90"/>
      <c r="F17" s="90"/>
      <c r="G17" s="90"/>
      <c r="H17" s="90"/>
      <c r="I17" s="90"/>
      <c r="J17" s="2" t="s">
        <v>25</v>
      </c>
      <c r="K17" s="98" t="s">
        <v>26</v>
      </c>
      <c r="L17" s="98"/>
      <c r="M17" s="98"/>
      <c r="N17" s="98"/>
      <c r="O17" s="30"/>
    </row>
    <row r="18" spans="1:15" s="1" customFormat="1" ht="9" customHeight="1" x14ac:dyDescent="0.25">
      <c r="A18" s="23"/>
      <c r="B18" s="17"/>
      <c r="C18" s="19"/>
      <c r="D18" s="19"/>
      <c r="E18" s="25"/>
      <c r="F18" s="20"/>
      <c r="G18" s="20"/>
      <c r="H18" s="21"/>
      <c r="I18" s="22"/>
      <c r="J18" s="20"/>
      <c r="K18" s="20"/>
      <c r="L18" s="20"/>
      <c r="M18" s="20"/>
      <c r="N18" s="20"/>
      <c r="O18" s="18"/>
    </row>
    <row r="19" spans="1:15" s="1" customFormat="1" ht="19.5" customHeight="1" x14ac:dyDescent="0.25">
      <c r="A19" s="68" t="s">
        <v>140</v>
      </c>
      <c r="B19" s="68"/>
      <c r="C19" s="68"/>
      <c r="D19" s="101"/>
      <c r="E19" s="101"/>
      <c r="F19" s="101"/>
      <c r="G19" s="101"/>
      <c r="H19" s="101"/>
      <c r="I19" s="101"/>
      <c r="J19" s="2" t="s">
        <v>25</v>
      </c>
      <c r="K19" s="90" t="s">
        <v>126</v>
      </c>
      <c r="L19" s="90"/>
      <c r="M19" s="90"/>
      <c r="N19" s="90"/>
      <c r="O19" s="18"/>
    </row>
    <row r="20" spans="1:15" s="1" customFormat="1" ht="7.5" customHeight="1" x14ac:dyDescent="0.25">
      <c r="A20" s="40"/>
      <c r="B20" s="2"/>
      <c r="C20" s="38"/>
      <c r="D20" s="19"/>
      <c r="E20" s="25"/>
      <c r="F20" s="20"/>
      <c r="G20" s="20"/>
      <c r="H20" s="21"/>
      <c r="I20" s="22"/>
      <c r="J20" s="20"/>
      <c r="K20" s="20"/>
      <c r="L20" s="20"/>
      <c r="M20" s="20"/>
      <c r="N20" s="20"/>
      <c r="O20" s="18"/>
    </row>
    <row r="21" spans="1:15" s="1" customFormat="1" ht="18.75" customHeight="1" x14ac:dyDescent="0.25">
      <c r="A21" s="68" t="s">
        <v>125</v>
      </c>
      <c r="B21" s="68"/>
      <c r="C21" s="68"/>
      <c r="D21" s="92"/>
      <c r="E21" s="92"/>
      <c r="F21" s="92"/>
      <c r="G21" s="92"/>
      <c r="H21" s="92"/>
      <c r="I21" s="44" t="s">
        <v>124</v>
      </c>
      <c r="J21" s="28"/>
      <c r="K21" s="28"/>
      <c r="L21" s="26"/>
      <c r="M21" s="68" t="s">
        <v>42</v>
      </c>
      <c r="N21" s="68"/>
      <c r="O21" s="27"/>
    </row>
    <row r="22" spans="1:15" s="1" customFormat="1" ht="7.5" customHeight="1" x14ac:dyDescent="0.25">
      <c r="A22" s="40"/>
      <c r="B22" s="2"/>
      <c r="C22" s="38"/>
      <c r="D22" s="19"/>
      <c r="E22" s="25"/>
      <c r="F22" s="20"/>
      <c r="G22" s="20"/>
      <c r="H22" s="21"/>
      <c r="I22" s="22"/>
      <c r="J22" s="20"/>
      <c r="K22" s="20"/>
      <c r="L22" s="20"/>
      <c r="M22" s="20"/>
      <c r="N22" s="20"/>
      <c r="O22" s="18"/>
    </row>
    <row r="23" spans="1:15" s="1" customFormat="1" ht="23.25" customHeight="1" x14ac:dyDescent="0.25">
      <c r="A23" s="95" t="s">
        <v>4</v>
      </c>
      <c r="B23" s="95"/>
      <c r="C23" s="95"/>
      <c r="D23" s="92"/>
      <c r="E23" s="92"/>
      <c r="F23" s="92"/>
      <c r="G23" s="1" t="s">
        <v>137</v>
      </c>
      <c r="H23" s="92"/>
      <c r="I23" s="92"/>
      <c r="J23" s="96" t="s">
        <v>5</v>
      </c>
      <c r="K23" s="96"/>
      <c r="L23" s="97"/>
      <c r="M23" s="97"/>
      <c r="N23" s="97"/>
      <c r="O23" s="97"/>
    </row>
    <row r="24" spans="1:15" s="1" customFormat="1" ht="23.25" customHeight="1" x14ac:dyDescent="0.25">
      <c r="A24" s="95" t="s">
        <v>4</v>
      </c>
      <c r="B24" s="95"/>
      <c r="C24" s="95"/>
      <c r="D24" s="92"/>
      <c r="E24" s="92"/>
      <c r="F24" s="92"/>
      <c r="G24" s="1" t="s">
        <v>137</v>
      </c>
      <c r="H24" s="92"/>
      <c r="I24" s="92"/>
      <c r="J24" s="96" t="s">
        <v>5</v>
      </c>
      <c r="K24" s="96"/>
      <c r="L24" s="97"/>
      <c r="M24" s="97"/>
      <c r="N24" s="97"/>
      <c r="O24" s="97"/>
    </row>
    <row r="25" spans="1:15" s="1" customFormat="1" ht="23.25" customHeight="1" x14ac:dyDescent="0.25">
      <c r="A25" s="95" t="s">
        <v>4</v>
      </c>
      <c r="B25" s="95"/>
      <c r="C25" s="95"/>
      <c r="D25" s="92"/>
      <c r="E25" s="92"/>
      <c r="F25" s="92"/>
      <c r="G25" s="1" t="s">
        <v>137</v>
      </c>
      <c r="H25" s="92"/>
      <c r="I25" s="92"/>
      <c r="J25" s="96" t="s">
        <v>5</v>
      </c>
      <c r="K25" s="96"/>
      <c r="L25" s="97"/>
      <c r="M25" s="97"/>
      <c r="N25" s="97"/>
      <c r="O25" s="97"/>
    </row>
    <row r="26" spans="1:15" s="1" customFormat="1" ht="23.25" customHeight="1" x14ac:dyDescent="0.25">
      <c r="A26" s="95" t="s">
        <v>4</v>
      </c>
      <c r="B26" s="95"/>
      <c r="C26" s="95"/>
      <c r="D26" s="92"/>
      <c r="E26" s="92"/>
      <c r="F26" s="92"/>
      <c r="G26" s="1" t="s">
        <v>137</v>
      </c>
      <c r="H26" s="92"/>
      <c r="I26" s="92"/>
      <c r="J26" s="96" t="s">
        <v>5</v>
      </c>
      <c r="K26" s="96"/>
      <c r="L26" s="97"/>
      <c r="M26" s="97"/>
      <c r="N26" s="97"/>
      <c r="O26" s="97"/>
    </row>
    <row r="27" spans="1:15" s="1" customFormat="1" ht="24.75" customHeight="1" x14ac:dyDescent="0.25">
      <c r="A27" s="30" t="s">
        <v>6</v>
      </c>
      <c r="B27" s="28"/>
      <c r="C27" s="28"/>
      <c r="D27" s="99"/>
      <c r="E27" s="99"/>
      <c r="F27" s="99"/>
      <c r="G27" s="93" t="s">
        <v>28</v>
      </c>
      <c r="H27" s="94"/>
      <c r="I27" s="94"/>
      <c r="J27" s="94"/>
      <c r="K27" s="94"/>
      <c r="L27" s="94"/>
      <c r="M27" s="94"/>
      <c r="N27" s="94"/>
      <c r="O27" s="94"/>
    </row>
    <row r="28" spans="1:15" s="1" customFormat="1" ht="21.75" customHeight="1" x14ac:dyDescent="0.25">
      <c r="A28" s="43" t="s">
        <v>29</v>
      </c>
      <c r="B28" s="28"/>
      <c r="C28" s="28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</row>
    <row r="29" spans="1:15" s="1" customFormat="1" ht="22.5" customHeight="1" x14ac:dyDescent="0.25">
      <c r="A29" s="56" t="s">
        <v>7</v>
      </c>
      <c r="B29" s="56"/>
      <c r="C29" s="100" t="s">
        <v>127</v>
      </c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</row>
    <row r="30" spans="1:15" s="1" customFormat="1" ht="19.5" customHeight="1" x14ac:dyDescent="0.25">
      <c r="A30" s="91" t="s">
        <v>27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</row>
    <row r="31" spans="1:15" s="1" customFormat="1" ht="6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1:15" s="1" customFormat="1" ht="18" customHeight="1" x14ac:dyDescent="0.25">
      <c r="A32" s="126" t="s">
        <v>8</v>
      </c>
      <c r="B32" s="126"/>
      <c r="C32" s="127"/>
      <c r="D32" s="127"/>
      <c r="E32" s="127"/>
      <c r="F32" s="127"/>
      <c r="G32" s="128" t="s">
        <v>9</v>
      </c>
      <c r="H32" s="128"/>
      <c r="I32" s="129">
        <v>45268</v>
      </c>
      <c r="J32" s="129"/>
      <c r="K32" s="129"/>
      <c r="L32" s="129"/>
      <c r="M32" s="45"/>
      <c r="N32" s="45"/>
      <c r="O32" s="45"/>
    </row>
    <row r="33" spans="1:15" s="1" customFormat="1" ht="3" customHeight="1" x14ac:dyDescent="0.25">
      <c r="A33" s="130"/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</row>
    <row r="34" spans="1:15" s="1" customFormat="1" ht="14.25" x14ac:dyDescent="0.25">
      <c r="A34" s="46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</row>
    <row r="35" spans="1:15" s="1" customFormat="1" ht="24.75" customHeight="1" x14ac:dyDescent="0.25">
      <c r="A35" s="124" t="s">
        <v>1</v>
      </c>
      <c r="B35" s="125" t="s">
        <v>0</v>
      </c>
      <c r="C35" s="125"/>
      <c r="D35" s="125"/>
      <c r="E35" s="125"/>
      <c r="F35" s="125"/>
      <c r="G35" s="125"/>
      <c r="H35" s="125"/>
      <c r="I35" s="125"/>
      <c r="J35" s="125"/>
      <c r="K35" s="125"/>
      <c r="L35" s="125" t="s">
        <v>14</v>
      </c>
      <c r="M35" s="131" t="s">
        <v>68</v>
      </c>
      <c r="N35" s="131"/>
      <c r="O35" s="131"/>
    </row>
    <row r="36" spans="1:15" s="1" customFormat="1" ht="48.75" customHeight="1" x14ac:dyDescent="0.25">
      <c r="A36" s="124"/>
      <c r="B36" s="125" t="s">
        <v>128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4" t="s">
        <v>69</v>
      </c>
      <c r="N36" s="124"/>
      <c r="O36" s="48" t="s">
        <v>31</v>
      </c>
    </row>
    <row r="37" spans="1:15" s="1" customFormat="1" ht="33" customHeight="1" x14ac:dyDescent="0.25">
      <c r="A37" s="49">
        <v>1</v>
      </c>
      <c r="B37" s="72"/>
      <c r="C37" s="73"/>
      <c r="D37" s="73"/>
      <c r="E37" s="73"/>
      <c r="F37" s="73"/>
      <c r="G37" s="73"/>
      <c r="H37" s="74"/>
      <c r="I37" s="75" t="s">
        <v>129</v>
      </c>
      <c r="J37" s="76"/>
      <c r="K37" s="77"/>
      <c r="L37" s="9"/>
      <c r="M37" s="69"/>
      <c r="N37" s="70"/>
      <c r="O37" s="50"/>
    </row>
    <row r="38" spans="1:15" s="1" customFormat="1" ht="33" customHeight="1" x14ac:dyDescent="0.25">
      <c r="A38" s="49">
        <v>2</v>
      </c>
      <c r="B38" s="72"/>
      <c r="C38" s="73"/>
      <c r="D38" s="73"/>
      <c r="E38" s="73"/>
      <c r="F38" s="73"/>
      <c r="G38" s="73"/>
      <c r="H38" s="74"/>
      <c r="I38" s="75" t="s">
        <v>129</v>
      </c>
      <c r="J38" s="76"/>
      <c r="K38" s="77"/>
      <c r="L38" s="9"/>
      <c r="M38" s="69"/>
      <c r="N38" s="82"/>
      <c r="O38" s="51"/>
    </row>
    <row r="39" spans="1:15" s="1" customFormat="1" ht="33" customHeight="1" x14ac:dyDescent="0.25">
      <c r="A39" s="49">
        <v>3</v>
      </c>
      <c r="B39" s="72"/>
      <c r="C39" s="73"/>
      <c r="D39" s="73"/>
      <c r="E39" s="73"/>
      <c r="F39" s="73"/>
      <c r="G39" s="73"/>
      <c r="H39" s="74"/>
      <c r="I39" s="75" t="s">
        <v>129</v>
      </c>
      <c r="J39" s="76"/>
      <c r="K39" s="77"/>
      <c r="L39" s="9"/>
      <c r="M39" s="69"/>
      <c r="N39" s="82"/>
      <c r="O39" s="51"/>
    </row>
    <row r="40" spans="1:15" s="1" customFormat="1" ht="33" customHeight="1" x14ac:dyDescent="0.25">
      <c r="A40" s="49">
        <v>4</v>
      </c>
      <c r="B40" s="72"/>
      <c r="C40" s="73"/>
      <c r="D40" s="73"/>
      <c r="E40" s="73"/>
      <c r="F40" s="73"/>
      <c r="G40" s="73"/>
      <c r="H40" s="74"/>
      <c r="I40" s="75" t="s">
        <v>129</v>
      </c>
      <c r="J40" s="76"/>
      <c r="K40" s="77"/>
      <c r="L40" s="9"/>
      <c r="M40" s="69"/>
      <c r="N40" s="70"/>
      <c r="O40" s="50"/>
    </row>
    <row r="41" spans="1:15" s="1" customFormat="1" ht="33" customHeight="1" x14ac:dyDescent="0.25">
      <c r="A41" s="49">
        <v>5</v>
      </c>
      <c r="B41" s="72"/>
      <c r="C41" s="73"/>
      <c r="D41" s="73"/>
      <c r="E41" s="73"/>
      <c r="F41" s="73"/>
      <c r="G41" s="73"/>
      <c r="H41" s="74"/>
      <c r="I41" s="75" t="s">
        <v>129</v>
      </c>
      <c r="J41" s="76"/>
      <c r="K41" s="77"/>
      <c r="L41" s="9"/>
      <c r="M41" s="69"/>
      <c r="N41" s="70"/>
      <c r="O41" s="50"/>
    </row>
    <row r="42" spans="1:15" s="1" customFormat="1" ht="33" customHeight="1" x14ac:dyDescent="0.25">
      <c r="A42" s="49">
        <v>6</v>
      </c>
      <c r="B42" s="72"/>
      <c r="C42" s="73"/>
      <c r="D42" s="73"/>
      <c r="E42" s="73"/>
      <c r="F42" s="73"/>
      <c r="G42" s="73"/>
      <c r="H42" s="74"/>
      <c r="I42" s="75" t="s">
        <v>129</v>
      </c>
      <c r="J42" s="76"/>
      <c r="K42" s="77"/>
      <c r="L42" s="9"/>
      <c r="M42" s="69"/>
      <c r="N42" s="70"/>
      <c r="O42" s="50"/>
    </row>
    <row r="43" spans="1:15" s="1" customFormat="1" ht="33" customHeight="1" x14ac:dyDescent="0.25">
      <c r="A43" s="49">
        <v>7</v>
      </c>
      <c r="B43" s="72"/>
      <c r="C43" s="73"/>
      <c r="D43" s="73"/>
      <c r="E43" s="73"/>
      <c r="F43" s="73"/>
      <c r="G43" s="73"/>
      <c r="H43" s="74"/>
      <c r="I43" s="75" t="s">
        <v>129</v>
      </c>
      <c r="J43" s="76"/>
      <c r="K43" s="77"/>
      <c r="L43" s="9"/>
      <c r="M43" s="69"/>
      <c r="N43" s="70"/>
      <c r="O43" s="50"/>
    </row>
    <row r="44" spans="1:15" s="1" customFormat="1" ht="33" customHeight="1" x14ac:dyDescent="0.25">
      <c r="A44" s="49">
        <v>8</v>
      </c>
      <c r="B44" s="72"/>
      <c r="C44" s="73"/>
      <c r="D44" s="73"/>
      <c r="E44" s="73"/>
      <c r="F44" s="73"/>
      <c r="G44" s="73"/>
      <c r="H44" s="74"/>
      <c r="I44" s="75" t="s">
        <v>129</v>
      </c>
      <c r="J44" s="76"/>
      <c r="K44" s="77"/>
      <c r="L44" s="9"/>
      <c r="M44" s="69"/>
      <c r="N44" s="70"/>
      <c r="O44" s="50"/>
    </row>
    <row r="45" spans="1:15" s="1" customFormat="1" ht="33" customHeight="1" x14ac:dyDescent="0.25">
      <c r="A45" s="49">
        <v>9</v>
      </c>
      <c r="B45" s="72"/>
      <c r="C45" s="73"/>
      <c r="D45" s="73"/>
      <c r="E45" s="73"/>
      <c r="F45" s="73"/>
      <c r="G45" s="73"/>
      <c r="H45" s="74"/>
      <c r="I45" s="75" t="s">
        <v>129</v>
      </c>
      <c r="J45" s="76"/>
      <c r="K45" s="77"/>
      <c r="L45" s="9"/>
      <c r="M45" s="69"/>
      <c r="N45" s="70"/>
      <c r="O45" s="50"/>
    </row>
    <row r="46" spans="1:15" s="1" customFormat="1" ht="33" customHeight="1" x14ac:dyDescent="0.25">
      <c r="A46" s="49">
        <v>10</v>
      </c>
      <c r="B46" s="72"/>
      <c r="C46" s="73"/>
      <c r="D46" s="73"/>
      <c r="E46" s="73"/>
      <c r="F46" s="73"/>
      <c r="G46" s="73"/>
      <c r="H46" s="74"/>
      <c r="I46" s="75" t="s">
        <v>129</v>
      </c>
      <c r="J46" s="76"/>
      <c r="K46" s="77"/>
      <c r="L46" s="9"/>
      <c r="M46" s="69"/>
      <c r="N46" s="70"/>
      <c r="O46" s="50"/>
    </row>
    <row r="47" spans="1:15" s="1" customFormat="1" ht="33" customHeight="1" x14ac:dyDescent="0.25">
      <c r="A47" s="49">
        <v>11</v>
      </c>
      <c r="B47" s="72"/>
      <c r="C47" s="73"/>
      <c r="D47" s="73"/>
      <c r="E47" s="73"/>
      <c r="F47" s="73"/>
      <c r="G47" s="73"/>
      <c r="H47" s="74"/>
      <c r="I47" s="75" t="s">
        <v>129</v>
      </c>
      <c r="J47" s="76"/>
      <c r="K47" s="77"/>
      <c r="L47" s="9"/>
      <c r="M47" s="69"/>
      <c r="N47" s="70"/>
      <c r="O47" s="50"/>
    </row>
    <row r="48" spans="1:15" s="1" customFormat="1" ht="33" customHeight="1" x14ac:dyDescent="0.25">
      <c r="A48" s="86" t="s">
        <v>2</v>
      </c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8"/>
      <c r="N48" s="80" t="s">
        <v>32</v>
      </c>
      <c r="O48" s="81"/>
    </row>
    <row r="49" spans="1:15" s="1" customFormat="1" ht="19.5" customHeight="1" x14ac:dyDescent="0.25">
      <c r="A49" s="83" t="s">
        <v>30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5"/>
    </row>
    <row r="50" spans="1:15" s="1" customFormat="1" ht="18" customHeight="1" x14ac:dyDescent="0.25">
      <c r="A50" s="78" t="s">
        <v>33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9"/>
      <c r="O50" s="79"/>
    </row>
    <row r="51" spans="1:15" s="1" customFormat="1" ht="18" customHeight="1" x14ac:dyDescent="0.25">
      <c r="A51" s="78" t="s">
        <v>34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9"/>
      <c r="O51" s="79"/>
    </row>
    <row r="52" spans="1:15" s="1" customFormat="1" ht="18" customHeight="1" x14ac:dyDescent="0.25">
      <c r="A52" s="78" t="s">
        <v>35</v>
      </c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80"/>
      <c r="O52" s="81"/>
    </row>
    <row r="53" spans="1:15" s="1" customFormat="1" ht="18" customHeight="1" x14ac:dyDescent="0.25">
      <c r="A53" s="78" t="s">
        <v>36</v>
      </c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9"/>
      <c r="O53" s="79"/>
    </row>
    <row r="54" spans="1:15" s="1" customFormat="1" ht="35.25" customHeight="1" thickBot="1" x14ac:dyDescent="0.3">
      <c r="A54" s="52"/>
      <c r="B54" s="52"/>
      <c r="C54" s="71" t="str">
        <f>+D15</f>
        <v>Alejandro Suarez Tunjano</v>
      </c>
      <c r="D54" s="71"/>
      <c r="E54" s="71"/>
      <c r="F54" s="71"/>
      <c r="G54" s="52"/>
      <c r="H54" s="52"/>
      <c r="I54" s="71">
        <f>+D23</f>
        <v>0</v>
      </c>
      <c r="J54" s="71"/>
      <c r="K54" s="71"/>
      <c r="L54" s="71"/>
      <c r="M54" s="52"/>
      <c r="N54" s="52"/>
      <c r="O54" s="52"/>
    </row>
    <row r="55" spans="1:15" s="1" customFormat="1" ht="17.45" customHeight="1" x14ac:dyDescent="0.25">
      <c r="A55" s="28"/>
      <c r="B55" s="28"/>
      <c r="C55" s="112" t="s">
        <v>37</v>
      </c>
      <c r="D55" s="112"/>
      <c r="E55" s="112"/>
      <c r="F55" s="112"/>
      <c r="G55" s="53"/>
      <c r="H55" s="53"/>
      <c r="I55" s="112" t="s">
        <v>38</v>
      </c>
      <c r="J55" s="112"/>
      <c r="K55" s="112"/>
      <c r="L55" s="112"/>
      <c r="M55" s="28"/>
      <c r="N55" s="28"/>
      <c r="O55" s="28"/>
    </row>
    <row r="56" spans="1:15" s="1" customFormat="1" ht="35.25" customHeight="1" thickBot="1" x14ac:dyDescent="0.3">
      <c r="A56" s="54"/>
      <c r="B56" s="54"/>
      <c r="C56" s="54"/>
      <c r="D56" s="54"/>
      <c r="E56" s="54"/>
      <c r="F56" s="54"/>
      <c r="G56" s="54"/>
      <c r="H56" s="54"/>
      <c r="I56" s="114">
        <f>+D24</f>
        <v>0</v>
      </c>
      <c r="J56" s="114"/>
      <c r="K56" s="114"/>
      <c r="L56" s="114"/>
      <c r="M56" s="54"/>
      <c r="N56" s="54"/>
      <c r="O56" s="54"/>
    </row>
    <row r="57" spans="1:15" s="1" customFormat="1" ht="17.45" customHeight="1" x14ac:dyDescent="0.25">
      <c r="A57" s="115" t="s">
        <v>139</v>
      </c>
      <c r="B57" s="116"/>
      <c r="C57" s="116"/>
      <c r="D57" s="116"/>
      <c r="E57" s="116"/>
      <c r="F57" s="116"/>
      <c r="G57" s="117"/>
      <c r="H57" s="53"/>
      <c r="I57" s="112" t="s">
        <v>39</v>
      </c>
      <c r="J57" s="112"/>
      <c r="K57" s="112"/>
      <c r="L57" s="112"/>
      <c r="M57" s="28"/>
      <c r="N57" s="28"/>
      <c r="O57" s="28"/>
    </row>
    <row r="58" spans="1:15" s="1" customFormat="1" ht="35.25" customHeight="1" thickBot="1" x14ac:dyDescent="0.3">
      <c r="A58" s="118"/>
      <c r="B58" s="119"/>
      <c r="C58" s="119"/>
      <c r="D58" s="119"/>
      <c r="E58" s="119"/>
      <c r="F58" s="119"/>
      <c r="G58" s="120"/>
      <c r="H58" s="54"/>
      <c r="I58" s="114">
        <f>+D25</f>
        <v>0</v>
      </c>
      <c r="J58" s="114"/>
      <c r="K58" s="114"/>
      <c r="L58" s="114"/>
      <c r="M58" s="54"/>
      <c r="N58" s="54"/>
      <c r="O58" s="54"/>
    </row>
    <row r="59" spans="1:15" s="1" customFormat="1" ht="17.45" customHeight="1" thickBot="1" x14ac:dyDescent="0.3">
      <c r="A59" s="121"/>
      <c r="B59" s="122"/>
      <c r="C59" s="122"/>
      <c r="D59" s="122"/>
      <c r="E59" s="122"/>
      <c r="F59" s="122"/>
      <c r="G59" s="123"/>
      <c r="H59" s="53"/>
      <c r="I59" s="112" t="s">
        <v>40</v>
      </c>
      <c r="J59" s="112"/>
      <c r="K59" s="112"/>
      <c r="L59" s="112"/>
      <c r="M59" s="28"/>
      <c r="N59" s="28"/>
      <c r="O59" s="28"/>
    </row>
    <row r="60" spans="1:15" s="1" customFormat="1" ht="35.25" customHeight="1" thickBot="1" x14ac:dyDescent="0.3">
      <c r="A60" s="54"/>
      <c r="B60" s="54"/>
      <c r="C60" s="54"/>
      <c r="D60" s="54"/>
      <c r="E60" s="54"/>
      <c r="F60" s="54"/>
      <c r="G60" s="54"/>
      <c r="H60" s="54"/>
      <c r="I60" s="114">
        <f>+D26</f>
        <v>0</v>
      </c>
      <c r="J60" s="114"/>
      <c r="K60" s="114"/>
      <c r="L60" s="114"/>
      <c r="M60" s="54"/>
      <c r="N60" s="54"/>
      <c r="O60" s="54"/>
    </row>
    <row r="61" spans="1:15" s="1" customFormat="1" ht="17.45" customHeight="1" x14ac:dyDescent="0.25">
      <c r="A61" s="28"/>
      <c r="B61" s="28"/>
      <c r="C61" s="113"/>
      <c r="D61" s="113"/>
      <c r="E61" s="113"/>
      <c r="F61" s="113"/>
      <c r="G61" s="53"/>
      <c r="H61" s="53"/>
      <c r="I61" s="112" t="s">
        <v>41</v>
      </c>
      <c r="J61" s="112"/>
      <c r="K61" s="112"/>
      <c r="L61" s="112"/>
      <c r="M61" s="28"/>
      <c r="N61" s="28"/>
      <c r="O61" s="28"/>
    </row>
    <row r="62" spans="1:15" s="1" customFormat="1" ht="20.25" customHeight="1" x14ac:dyDescent="0.25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s="1" customFormat="1" ht="47.25" customHeight="1" x14ac:dyDescent="0.25">
      <c r="A63" s="108" t="s">
        <v>154</v>
      </c>
      <c r="B63" s="109"/>
      <c r="C63" s="109"/>
      <c r="D63" s="109"/>
      <c r="E63" s="109"/>
      <c r="F63" s="109"/>
      <c r="G63" s="28"/>
      <c r="H63" s="28"/>
      <c r="I63" s="28"/>
      <c r="J63" s="28"/>
      <c r="K63" s="28"/>
      <c r="L63" s="28"/>
      <c r="M63" s="28"/>
      <c r="N63" s="28"/>
      <c r="O63" s="28"/>
    </row>
    <row r="64" spans="1:15" s="1" customFormat="1" ht="16.5" x14ac:dyDescent="0.25">
      <c r="A64" s="3"/>
      <c r="B64" s="3"/>
      <c r="C64" s="55"/>
      <c r="D64" s="55"/>
      <c r="E64" s="55"/>
      <c r="F64" s="55"/>
      <c r="G64" s="3"/>
      <c r="H64" s="3"/>
      <c r="I64" s="55"/>
      <c r="J64" s="55"/>
      <c r="K64" s="55"/>
      <c r="L64" s="55"/>
      <c r="M64" s="110" t="s">
        <v>15</v>
      </c>
      <c r="N64" s="111"/>
      <c r="O64" s="111"/>
    </row>
  </sheetData>
  <mergeCells count="117">
    <mergeCell ref="A21:C21"/>
    <mergeCell ref="D23:F23"/>
    <mergeCell ref="H23:I23"/>
    <mergeCell ref="D24:F24"/>
    <mergeCell ref="H24:I24"/>
    <mergeCell ref="D25:F25"/>
    <mergeCell ref="H25:I25"/>
    <mergeCell ref="D26:F26"/>
    <mergeCell ref="H26:I26"/>
    <mergeCell ref="A35:A36"/>
    <mergeCell ref="B35:K35"/>
    <mergeCell ref="J24:K24"/>
    <mergeCell ref="L24:O24"/>
    <mergeCell ref="A26:C26"/>
    <mergeCell ref="L35:L36"/>
    <mergeCell ref="B36:K36"/>
    <mergeCell ref="A32:B32"/>
    <mergeCell ref="C32:F32"/>
    <mergeCell ref="G32:H32"/>
    <mergeCell ref="I32:L32"/>
    <mergeCell ref="A33:O33"/>
    <mergeCell ref="M36:N36"/>
    <mergeCell ref="M35:O35"/>
    <mergeCell ref="A63:F63"/>
    <mergeCell ref="M64:O64"/>
    <mergeCell ref="I55:L55"/>
    <mergeCell ref="C55:F55"/>
    <mergeCell ref="A62:O62"/>
    <mergeCell ref="I57:L57"/>
    <mergeCell ref="I59:L59"/>
    <mergeCell ref="C61:F61"/>
    <mergeCell ref="I61:L61"/>
    <mergeCell ref="I58:L58"/>
    <mergeCell ref="I60:L60"/>
    <mergeCell ref="I56:L56"/>
    <mergeCell ref="A57:G59"/>
    <mergeCell ref="F7:H7"/>
    <mergeCell ref="A9:B9"/>
    <mergeCell ref="C9:F9"/>
    <mergeCell ref="K9:N9"/>
    <mergeCell ref="A11:B11"/>
    <mergeCell ref="C11:F11"/>
    <mergeCell ref="H11:J11"/>
    <mergeCell ref="K11:N11"/>
    <mergeCell ref="C13:N13"/>
    <mergeCell ref="L7:N7"/>
    <mergeCell ref="D15:I15"/>
    <mergeCell ref="A15:C15"/>
    <mergeCell ref="K15:N15"/>
    <mergeCell ref="A30:O30"/>
    <mergeCell ref="D28:O28"/>
    <mergeCell ref="G27:O27"/>
    <mergeCell ref="A23:C23"/>
    <mergeCell ref="J23:K23"/>
    <mergeCell ref="L23:O23"/>
    <mergeCell ref="J26:K26"/>
    <mergeCell ref="L26:O26"/>
    <mergeCell ref="A24:C24"/>
    <mergeCell ref="A25:C25"/>
    <mergeCell ref="D21:H21"/>
    <mergeCell ref="K17:N17"/>
    <mergeCell ref="A17:C17"/>
    <mergeCell ref="D17:I17"/>
    <mergeCell ref="D27:F27"/>
    <mergeCell ref="C29:O29"/>
    <mergeCell ref="D19:I19"/>
    <mergeCell ref="K19:N19"/>
    <mergeCell ref="J25:K25"/>
    <mergeCell ref="L25:O25"/>
    <mergeCell ref="M21:N21"/>
    <mergeCell ref="M40:N40"/>
    <mergeCell ref="M47:N47"/>
    <mergeCell ref="A49:O49"/>
    <mergeCell ref="N48:O48"/>
    <mergeCell ref="A48:M48"/>
    <mergeCell ref="B41:H41"/>
    <mergeCell ref="I41:K41"/>
    <mergeCell ref="M41:N41"/>
    <mergeCell ref="B46:H46"/>
    <mergeCell ref="I46:K46"/>
    <mergeCell ref="M46:N46"/>
    <mergeCell ref="B42:H42"/>
    <mergeCell ref="I42:K42"/>
    <mergeCell ref="M42:N42"/>
    <mergeCell ref="B43:H43"/>
    <mergeCell ref="I43:K43"/>
    <mergeCell ref="M43:N43"/>
    <mergeCell ref="B44:H44"/>
    <mergeCell ref="I44:K44"/>
    <mergeCell ref="M44:N44"/>
    <mergeCell ref="B45:H45"/>
    <mergeCell ref="I45:K45"/>
    <mergeCell ref="M45:N45"/>
    <mergeCell ref="A19:C19"/>
    <mergeCell ref="M37:N37"/>
    <mergeCell ref="I54:L54"/>
    <mergeCell ref="B39:H39"/>
    <mergeCell ref="I39:K39"/>
    <mergeCell ref="B40:H40"/>
    <mergeCell ref="I40:K40"/>
    <mergeCell ref="B47:H47"/>
    <mergeCell ref="I47:K47"/>
    <mergeCell ref="C54:F54"/>
    <mergeCell ref="A50:M50"/>
    <mergeCell ref="N50:O50"/>
    <mergeCell ref="A51:M51"/>
    <mergeCell ref="N51:O51"/>
    <mergeCell ref="A53:M53"/>
    <mergeCell ref="N53:O53"/>
    <mergeCell ref="A52:M52"/>
    <mergeCell ref="I37:K37"/>
    <mergeCell ref="B37:H37"/>
    <mergeCell ref="B38:H38"/>
    <mergeCell ref="I38:K38"/>
    <mergeCell ref="N52:O52"/>
    <mergeCell ref="M38:N38"/>
    <mergeCell ref="M39:N39"/>
  </mergeCells>
  <dataValidations xWindow="797" yWindow="339" count="9">
    <dataValidation allowBlank="1" showInputMessage="1" showErrorMessage="1" prompt="Digite el Número de Item" sqref="A37:A39" xr:uid="{00000000-0002-0000-0000-000000000000}"/>
    <dataValidation allowBlank="1" showInputMessage="1" showErrorMessage="1" prompt="Espacio a diligenciar por la Sección de Gestión de Bienes" sqref="K9:N9 C9:F9" xr:uid="{00000000-0002-0000-0000-000001000000}"/>
    <dataValidation allowBlank="1" showInputMessage="1" showErrorMessage="1" prompt="MARQUE CON X, SI EL ELEMENTO SERÁ MOVIDO FUERA DEL CAMPUS" sqref="K11" xr:uid="{00000000-0002-0000-0000-000002000000}"/>
    <dataValidation allowBlank="1" showInputMessage="1" showErrorMessage="1" prompt="MARQUE CON X, SI EL EMENTO SERÁ MOVIDO DENTRO DEL CAMPUS " sqref="C11 G11" xr:uid="{00000000-0002-0000-0000-000003000000}"/>
    <dataValidation allowBlank="1" showInputMessage="1" showErrorMessage="1" prompt="Señale la fecha en que el bien regresará a su ubicación" sqref="I32" xr:uid="{00000000-0002-0000-0000-000004000000}"/>
    <dataValidation allowBlank="1" showInputMessage="1" showErrorMessage="1" prompt="Señale la fecha en que saldrá el elemento de su ubicación actual" sqref="C32" xr:uid="{00000000-0002-0000-0000-000005000000}"/>
    <dataValidation allowBlank="1" showInputMessage="1" showErrorMessage="1" prompt="Digite el propósito del movimiento de este elemento" sqref="A29" xr:uid="{00000000-0002-0000-0000-000006000000}"/>
    <dataValidation allowBlank="1" showInputMessage="1" showErrorMessage="1" prompt="Digite el destino del elemento a ser trasladado" sqref="A28" xr:uid="{00000000-0002-0000-0000-000007000000}"/>
    <dataValidation allowBlank="1" showInputMessage="1" showErrorMessage="1" prompt="Digite la información del elemento de acuerdo al reporte de bienes" sqref="I37:I47" xr:uid="{00000000-0002-0000-0000-000008000000}"/>
  </dataValidations>
  <pageMargins left="0.7" right="0.7" top="0.75" bottom="0.75" header="0.3" footer="0.3"/>
  <pageSetup scale="4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797" yWindow="339" count="9">
        <x14:dataValidation type="list" allowBlank="1" showInputMessage="1" showErrorMessage="1" xr:uid="{00000000-0002-0000-0000-00000B000000}">
          <x14:formula1>
            <xm:f>DATOS!$J$2:$J$17</xm:f>
          </x14:formula1>
          <xm:sqref>L21</xm:sqref>
        </x14:dataValidation>
        <x14:dataValidation type="list" allowBlank="1" showInputMessage="1" showErrorMessage="1" xr:uid="{00000000-0002-0000-0000-00000C000000}">
          <x14:formula1>
            <xm:f>DATOS!$K$2:$K$17</xm:f>
          </x14:formula1>
          <xm:sqref>O21</xm:sqref>
        </x14:dataValidation>
        <x14:dataValidation type="list" allowBlank="1" showInputMessage="1" showErrorMessage="1" xr:uid="{00000000-0002-0000-0000-00000D000000}">
          <x14:formula1>
            <xm:f>DATOS!$I$2:$I$4</xm:f>
          </x14:formula1>
          <xm:sqref>L37:L47</xm:sqref>
        </x14:dataValidation>
        <x14:dataValidation type="list" allowBlank="1" showInputMessage="1" showErrorMessage="1" xr:uid="{00000000-0002-0000-0000-00000E000000}">
          <x14:formula1>
            <xm:f>DATOS!$F$2:$F$6</xm:f>
          </x14:formula1>
          <xm:sqref>D27:F27</xm:sqref>
        </x14:dataValidation>
        <x14:dataValidation type="list" allowBlank="1" showInputMessage="1" showErrorMessage="1" xr:uid="{00000000-0002-0000-0000-000009000000}">
          <x14:formula1>
            <xm:f>DATOS!$A$2:$A$5</xm:f>
          </x14:formula1>
          <xm:sqref>D15:I15</xm:sqref>
        </x14:dataValidation>
        <x14:dataValidation type="list" allowBlank="1" showInputMessage="1" showErrorMessage="1" xr:uid="{00000000-0002-0000-0000-00000A000000}">
          <x14:formula1>
            <xm:f>DATOS!$B$2:$B$19</xm:f>
          </x14:formula1>
          <xm:sqref>D21:H21</xm:sqref>
        </x14:dataValidation>
        <x14:dataValidation type="list" allowBlank="1" showInputMessage="1" showErrorMessage="1" xr:uid="{00000000-0002-0000-0000-00000F000000}">
          <x14:formula1>
            <xm:f>DATOS!$C$2:$C$27</xm:f>
          </x14:formula1>
          <xm:sqref>D19:I19</xm:sqref>
        </x14:dataValidation>
        <x14:dataValidation type="list" allowBlank="1" showInputMessage="1" showErrorMessage="1" xr:uid="{00000000-0002-0000-0000-000010000000}">
          <x14:formula1>
            <xm:f>DATOS!$H$2:$H$27</xm:f>
          </x14:formula1>
          <xm:sqref>B38:H47</xm:sqref>
        </x14:dataValidation>
        <x14:dataValidation type="list" allowBlank="1" showInputMessage="1" showErrorMessage="1" xr:uid="{6F74A06B-7978-4985-929F-1D384A66DBDB}">
          <x14:formula1>
            <xm:f>DATOS!$H$2:$H$28</xm:f>
          </x14:formula1>
          <xm:sqref>B37:H37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3"/>
  <sheetViews>
    <sheetView topLeftCell="D16" workbookViewId="0">
      <selection activeCell="H31" sqref="H31"/>
    </sheetView>
  </sheetViews>
  <sheetFormatPr baseColWidth="10" defaultRowHeight="15" x14ac:dyDescent="0.25"/>
  <cols>
    <col min="1" max="1" width="27.140625" bestFit="1" customWidth="1"/>
    <col min="2" max="2" width="45.28515625" customWidth="1"/>
    <col min="3" max="3" width="35.42578125" bestFit="1" customWidth="1"/>
    <col min="4" max="4" width="35.42578125" customWidth="1"/>
    <col min="5" max="5" width="22" bestFit="1" customWidth="1"/>
    <col min="6" max="6" width="20.5703125" customWidth="1"/>
    <col min="7" max="7" width="56" customWidth="1"/>
    <col min="8" max="8" width="66.140625" customWidth="1"/>
  </cols>
  <sheetData>
    <row r="1" spans="1:11" x14ac:dyDescent="0.25">
      <c r="A1" s="12" t="s">
        <v>45</v>
      </c>
      <c r="B1" s="12" t="s">
        <v>44</v>
      </c>
      <c r="C1" s="12" t="s">
        <v>43</v>
      </c>
      <c r="D1" s="12"/>
      <c r="E1" s="12" t="s">
        <v>62</v>
      </c>
      <c r="F1" s="12" t="s">
        <v>64</v>
      </c>
      <c r="G1" s="12" t="s">
        <v>65</v>
      </c>
      <c r="H1" s="12" t="s">
        <v>70</v>
      </c>
      <c r="I1" s="12" t="s">
        <v>67</v>
      </c>
      <c r="J1" s="14" t="s">
        <v>92</v>
      </c>
      <c r="K1" s="14" t="s">
        <v>108</v>
      </c>
    </row>
    <row r="2" spans="1:11" x14ac:dyDescent="0.25">
      <c r="A2" s="12"/>
      <c r="B2" s="12"/>
      <c r="C2" s="12"/>
      <c r="D2" s="12"/>
      <c r="E2" s="12"/>
      <c r="F2" s="12"/>
      <c r="G2" s="12"/>
      <c r="H2" s="12"/>
      <c r="I2" s="12"/>
      <c r="J2" s="14"/>
      <c r="K2" s="14"/>
    </row>
    <row r="3" spans="1:11" ht="15.75" x14ac:dyDescent="0.25">
      <c r="A3" s="11" t="s">
        <v>46</v>
      </c>
      <c r="B3" s="58" t="s">
        <v>47</v>
      </c>
      <c r="C3" s="13" t="s">
        <v>170</v>
      </c>
      <c r="D3" s="67" t="s">
        <v>179</v>
      </c>
      <c r="E3" s="11" t="s">
        <v>63</v>
      </c>
      <c r="F3" s="11" t="s">
        <v>130</v>
      </c>
      <c r="G3" s="10" t="s">
        <v>66</v>
      </c>
      <c r="H3" s="10" t="s">
        <v>193</v>
      </c>
      <c r="I3" s="11">
        <v>1</v>
      </c>
      <c r="J3" s="15" t="s">
        <v>93</v>
      </c>
      <c r="K3" s="15" t="s">
        <v>109</v>
      </c>
    </row>
    <row r="4" spans="1:11" x14ac:dyDescent="0.25">
      <c r="A4" s="15" t="s">
        <v>143</v>
      </c>
      <c r="B4" s="58" t="s">
        <v>48</v>
      </c>
      <c r="C4" s="13" t="s">
        <v>180</v>
      </c>
      <c r="D4" s="66" t="s">
        <v>176</v>
      </c>
      <c r="E4" s="11"/>
      <c r="F4" s="11" t="s">
        <v>131</v>
      </c>
      <c r="G4" s="11"/>
      <c r="H4" s="10" t="s">
        <v>71</v>
      </c>
      <c r="I4" s="11">
        <v>2</v>
      </c>
      <c r="J4" s="15" t="s">
        <v>94</v>
      </c>
      <c r="K4" s="15" t="s">
        <v>110</v>
      </c>
    </row>
    <row r="5" spans="1:11" x14ac:dyDescent="0.25">
      <c r="A5" s="57" t="s">
        <v>144</v>
      </c>
      <c r="B5" s="58" t="s">
        <v>49</v>
      </c>
      <c r="C5" s="13" t="s">
        <v>181</v>
      </c>
      <c r="D5" s="66" t="s">
        <v>182</v>
      </c>
      <c r="E5" s="11"/>
      <c r="F5" s="11" t="s">
        <v>132</v>
      </c>
      <c r="G5" s="11"/>
      <c r="H5" s="10" t="s">
        <v>90</v>
      </c>
      <c r="I5" s="11"/>
      <c r="J5" s="15" t="s">
        <v>95</v>
      </c>
      <c r="K5" s="15" t="s">
        <v>111</v>
      </c>
    </row>
    <row r="6" spans="1:11" x14ac:dyDescent="0.25">
      <c r="A6" s="11"/>
      <c r="B6" s="59" t="s">
        <v>141</v>
      </c>
      <c r="C6" s="13" t="s">
        <v>152</v>
      </c>
      <c r="D6" s="66" t="s">
        <v>169</v>
      </c>
      <c r="E6" s="11"/>
      <c r="F6" s="11" t="s">
        <v>43</v>
      </c>
      <c r="G6" s="11"/>
      <c r="H6" s="10" t="s">
        <v>72</v>
      </c>
      <c r="I6" s="11"/>
      <c r="J6" s="15" t="s">
        <v>96</v>
      </c>
      <c r="K6" s="15" t="s">
        <v>112</v>
      </c>
    </row>
    <row r="7" spans="1:11" x14ac:dyDescent="0.25">
      <c r="A7" s="15"/>
      <c r="B7" s="58" t="s">
        <v>50</v>
      </c>
      <c r="C7" s="13" t="s">
        <v>172</v>
      </c>
      <c r="D7" s="66" t="s">
        <v>173</v>
      </c>
      <c r="E7" s="11"/>
      <c r="F7" s="11"/>
      <c r="G7" s="11"/>
      <c r="H7" s="10" t="s">
        <v>73</v>
      </c>
      <c r="I7" s="11"/>
      <c r="J7" s="15" t="s">
        <v>97</v>
      </c>
      <c r="K7" s="15" t="s">
        <v>113</v>
      </c>
    </row>
    <row r="8" spans="1:11" x14ac:dyDescent="0.25">
      <c r="A8" s="11"/>
      <c r="B8" s="58" t="s">
        <v>51</v>
      </c>
      <c r="C8" s="13" t="s">
        <v>159</v>
      </c>
      <c r="D8" s="66" t="s">
        <v>160</v>
      </c>
      <c r="E8" s="11"/>
      <c r="F8" s="11"/>
      <c r="G8" s="11"/>
      <c r="H8" s="10" t="s">
        <v>88</v>
      </c>
      <c r="I8" s="11"/>
      <c r="J8" s="15" t="s">
        <v>98</v>
      </c>
      <c r="K8" s="15" t="s">
        <v>114</v>
      </c>
    </row>
    <row r="9" spans="1:11" x14ac:dyDescent="0.25">
      <c r="A9" s="11"/>
      <c r="B9" s="58" t="s">
        <v>52</v>
      </c>
      <c r="C9" s="13" t="s">
        <v>147</v>
      </c>
      <c r="D9" s="66" t="s">
        <v>161</v>
      </c>
      <c r="E9" s="11"/>
      <c r="F9" s="11"/>
      <c r="G9" s="11"/>
      <c r="H9" s="10" t="s">
        <v>74</v>
      </c>
      <c r="I9" s="11"/>
      <c r="J9" s="15" t="s">
        <v>99</v>
      </c>
      <c r="K9" s="15" t="s">
        <v>115</v>
      </c>
    </row>
    <row r="10" spans="1:11" x14ac:dyDescent="0.25">
      <c r="A10" s="11"/>
      <c r="B10" s="58" t="s">
        <v>53</v>
      </c>
      <c r="C10" s="13" t="s">
        <v>184</v>
      </c>
      <c r="D10" s="66" t="s">
        <v>183</v>
      </c>
      <c r="E10" s="11"/>
      <c r="F10" s="11"/>
      <c r="G10" s="11"/>
      <c r="H10" s="10" t="s">
        <v>75</v>
      </c>
      <c r="I10" s="11"/>
      <c r="J10" s="15" t="s">
        <v>100</v>
      </c>
      <c r="K10" s="15" t="s">
        <v>116</v>
      </c>
    </row>
    <row r="11" spans="1:11" x14ac:dyDescent="0.25">
      <c r="A11" s="11"/>
      <c r="B11" s="58" t="s">
        <v>54</v>
      </c>
      <c r="C11" s="13" t="s">
        <v>149</v>
      </c>
      <c r="D11" s="66" t="s">
        <v>166</v>
      </c>
      <c r="E11" s="11"/>
      <c r="F11" s="11"/>
      <c r="G11" s="11"/>
      <c r="H11" s="10" t="s">
        <v>76</v>
      </c>
      <c r="I11" s="11"/>
      <c r="J11" s="15" t="s">
        <v>101</v>
      </c>
      <c r="K11" s="15" t="s">
        <v>117</v>
      </c>
    </row>
    <row r="12" spans="1:11" x14ac:dyDescent="0.25">
      <c r="A12" s="11"/>
      <c r="B12" s="58" t="s">
        <v>55</v>
      </c>
      <c r="C12" s="13" t="s">
        <v>146</v>
      </c>
      <c r="D12" s="66" t="s">
        <v>164</v>
      </c>
      <c r="E12" s="11"/>
      <c r="F12" s="11"/>
      <c r="G12" s="11"/>
      <c r="H12" s="10" t="s">
        <v>77</v>
      </c>
      <c r="I12" s="11"/>
      <c r="J12" s="15" t="s">
        <v>102</v>
      </c>
      <c r="K12" s="15" t="s">
        <v>118</v>
      </c>
    </row>
    <row r="13" spans="1:11" x14ac:dyDescent="0.25">
      <c r="A13" s="11"/>
      <c r="B13" s="60" t="s">
        <v>56</v>
      </c>
      <c r="C13" s="13" t="s">
        <v>148</v>
      </c>
      <c r="D13" s="66" t="s">
        <v>165</v>
      </c>
      <c r="E13" s="11"/>
      <c r="F13" s="11"/>
      <c r="G13" s="11"/>
      <c r="H13" s="10" t="s">
        <v>78</v>
      </c>
      <c r="I13" s="11"/>
      <c r="J13" s="15" t="s">
        <v>103</v>
      </c>
      <c r="K13" s="15" t="s">
        <v>119</v>
      </c>
    </row>
    <row r="14" spans="1:11" x14ac:dyDescent="0.25">
      <c r="A14" s="11"/>
      <c r="B14" s="60" t="s">
        <v>57</v>
      </c>
      <c r="C14" s="13" t="s">
        <v>185</v>
      </c>
      <c r="D14" s="66" t="s">
        <v>186</v>
      </c>
      <c r="E14" s="11"/>
      <c r="F14" s="11"/>
      <c r="G14" s="11"/>
      <c r="H14" s="10" t="s">
        <v>79</v>
      </c>
      <c r="I14" s="11"/>
      <c r="J14" s="15" t="s">
        <v>104</v>
      </c>
      <c r="K14" s="15" t="s">
        <v>120</v>
      </c>
    </row>
    <row r="15" spans="1:11" x14ac:dyDescent="0.25">
      <c r="A15" s="11"/>
      <c r="B15" s="60" t="s">
        <v>58</v>
      </c>
      <c r="C15" s="13" t="s">
        <v>46</v>
      </c>
      <c r="D15" s="66" t="s">
        <v>168</v>
      </c>
      <c r="E15" s="11"/>
      <c r="F15" s="11"/>
      <c r="G15" s="11"/>
      <c r="H15" s="10" t="s">
        <v>80</v>
      </c>
      <c r="I15" s="11"/>
      <c r="J15" s="15" t="s">
        <v>105</v>
      </c>
      <c r="K15" s="15" t="s">
        <v>121</v>
      </c>
    </row>
    <row r="16" spans="1:11" x14ac:dyDescent="0.25">
      <c r="A16" s="11"/>
      <c r="B16" s="61" t="s">
        <v>142</v>
      </c>
      <c r="C16" s="13" t="s">
        <v>151</v>
      </c>
      <c r="D16" s="66" t="s">
        <v>167</v>
      </c>
      <c r="E16" s="11"/>
      <c r="F16" s="11"/>
      <c r="G16" s="11"/>
      <c r="H16" s="10" t="s">
        <v>81</v>
      </c>
      <c r="I16" s="11"/>
      <c r="J16" s="15" t="s">
        <v>106</v>
      </c>
      <c r="K16" s="15" t="s">
        <v>122</v>
      </c>
    </row>
    <row r="17" spans="1:11" x14ac:dyDescent="0.25">
      <c r="A17" s="11"/>
      <c r="B17" s="61" t="s">
        <v>59</v>
      </c>
      <c r="C17" s="13" t="s">
        <v>157</v>
      </c>
      <c r="D17" s="66" t="s">
        <v>158</v>
      </c>
      <c r="E17" s="11"/>
      <c r="F17" s="11"/>
      <c r="G17" s="11"/>
      <c r="H17" s="10" t="s">
        <v>82</v>
      </c>
      <c r="I17" s="11"/>
      <c r="J17" s="15" t="s">
        <v>107</v>
      </c>
      <c r="K17" s="15" t="s">
        <v>123</v>
      </c>
    </row>
    <row r="18" spans="1:11" x14ac:dyDescent="0.25">
      <c r="A18" s="11"/>
      <c r="B18" s="60" t="s">
        <v>60</v>
      </c>
      <c r="C18" s="13" t="s">
        <v>150</v>
      </c>
      <c r="D18" s="66" t="s">
        <v>156</v>
      </c>
      <c r="E18" s="11"/>
      <c r="F18" s="11"/>
      <c r="G18" s="11"/>
      <c r="H18" s="10" t="s">
        <v>83</v>
      </c>
      <c r="I18" s="11"/>
      <c r="J18" s="13"/>
      <c r="K18" s="13"/>
    </row>
    <row r="19" spans="1:11" x14ac:dyDescent="0.25">
      <c r="A19" s="11"/>
      <c r="B19" s="61" t="s">
        <v>135</v>
      </c>
      <c r="C19" s="13" t="s">
        <v>153</v>
      </c>
      <c r="D19" s="66" t="s">
        <v>171</v>
      </c>
      <c r="E19" s="11"/>
      <c r="F19" s="11"/>
      <c r="G19" s="11"/>
      <c r="H19" s="10" t="s">
        <v>84</v>
      </c>
      <c r="I19" s="11"/>
      <c r="J19" s="13"/>
      <c r="K19" s="13"/>
    </row>
    <row r="20" spans="1:11" x14ac:dyDescent="0.25">
      <c r="A20" s="11"/>
      <c r="C20" s="13" t="s">
        <v>162</v>
      </c>
      <c r="D20" s="66" t="s">
        <v>163</v>
      </c>
      <c r="E20" s="11"/>
      <c r="F20" s="11"/>
      <c r="G20" s="11"/>
      <c r="H20" s="10" t="s">
        <v>85</v>
      </c>
      <c r="I20" s="11"/>
      <c r="J20" s="13"/>
      <c r="K20" s="13"/>
    </row>
    <row r="21" spans="1:11" x14ac:dyDescent="0.25">
      <c r="A21" s="11"/>
      <c r="C21" s="13" t="s">
        <v>174</v>
      </c>
      <c r="D21" s="66" t="s">
        <v>175</v>
      </c>
      <c r="E21" s="11"/>
      <c r="F21" s="11"/>
      <c r="G21" s="11"/>
      <c r="H21" s="10" t="s">
        <v>86</v>
      </c>
      <c r="I21" s="11"/>
      <c r="J21" s="13"/>
      <c r="K21" s="13"/>
    </row>
    <row r="22" spans="1:11" x14ac:dyDescent="0.25">
      <c r="A22" s="11"/>
      <c r="B22" s="62"/>
      <c r="C22" s="13" t="s">
        <v>187</v>
      </c>
      <c r="D22" s="66" t="s">
        <v>188</v>
      </c>
      <c r="E22" s="11"/>
      <c r="F22" s="11"/>
      <c r="G22" s="11"/>
      <c r="H22" s="10" t="s">
        <v>87</v>
      </c>
      <c r="I22" s="11"/>
      <c r="J22" s="13"/>
      <c r="K22" s="13"/>
    </row>
    <row r="23" spans="1:11" x14ac:dyDescent="0.25">
      <c r="A23" s="11"/>
      <c r="B23" s="62"/>
      <c r="C23" s="13" t="s">
        <v>189</v>
      </c>
      <c r="D23" s="66" t="s">
        <v>190</v>
      </c>
      <c r="E23" s="11"/>
      <c r="F23" s="11"/>
      <c r="G23" s="11"/>
      <c r="H23" s="10" t="s">
        <v>89</v>
      </c>
      <c r="I23" s="11"/>
      <c r="J23" s="13"/>
      <c r="K23" s="13"/>
    </row>
    <row r="24" spans="1:11" x14ac:dyDescent="0.25">
      <c r="A24" s="11"/>
      <c r="B24" s="62"/>
      <c r="C24" s="13" t="s">
        <v>194</v>
      </c>
      <c r="D24" s="66" t="s">
        <v>195</v>
      </c>
      <c r="E24" s="11"/>
      <c r="F24" s="11"/>
      <c r="G24" s="11"/>
      <c r="H24" s="10" t="s">
        <v>133</v>
      </c>
      <c r="I24" s="11"/>
      <c r="J24" s="13"/>
      <c r="K24" s="13"/>
    </row>
    <row r="25" spans="1:11" x14ac:dyDescent="0.25">
      <c r="A25" s="11"/>
      <c r="B25" s="62"/>
      <c r="C25" s="13"/>
      <c r="D25" s="13"/>
      <c r="E25" s="11"/>
      <c r="F25" s="11"/>
      <c r="G25" s="11"/>
      <c r="H25" s="10" t="s">
        <v>134</v>
      </c>
      <c r="I25" s="11"/>
      <c r="J25" s="13"/>
      <c r="K25" s="13"/>
    </row>
    <row r="26" spans="1:11" x14ac:dyDescent="0.25">
      <c r="A26" s="11"/>
      <c r="B26" s="62"/>
      <c r="C26" s="13"/>
      <c r="D26" s="13"/>
      <c r="E26" s="11"/>
      <c r="F26" s="11"/>
      <c r="G26" s="11"/>
      <c r="H26" s="10" t="s">
        <v>136</v>
      </c>
      <c r="I26" s="11"/>
      <c r="J26" s="13"/>
      <c r="K26" s="13"/>
    </row>
    <row r="27" spans="1:11" x14ac:dyDescent="0.25">
      <c r="A27" s="11"/>
      <c r="B27" s="62"/>
      <c r="C27" s="13"/>
      <c r="D27" s="64"/>
      <c r="E27" s="11"/>
      <c r="F27" s="11"/>
      <c r="G27" s="11"/>
      <c r="H27" s="10" t="s">
        <v>138</v>
      </c>
      <c r="I27" s="11"/>
      <c r="J27" s="13"/>
      <c r="K27" s="13"/>
    </row>
    <row r="28" spans="1:11" x14ac:dyDescent="0.25">
      <c r="A28" s="11"/>
      <c r="B28" s="62"/>
      <c r="C28" s="13"/>
      <c r="D28" s="65"/>
      <c r="E28" s="11"/>
      <c r="F28" s="11"/>
      <c r="G28" s="11"/>
      <c r="H28" s="10" t="s">
        <v>145</v>
      </c>
      <c r="I28" s="11"/>
      <c r="J28" s="13"/>
      <c r="K28" s="13"/>
    </row>
    <row r="29" spans="1:11" x14ac:dyDescent="0.25">
      <c r="A29" s="11"/>
      <c r="B29" s="62"/>
      <c r="C29" s="63"/>
      <c r="D29" s="63"/>
      <c r="E29" s="11"/>
      <c r="F29" s="11"/>
      <c r="G29" s="11"/>
      <c r="H29" s="10" t="s">
        <v>155</v>
      </c>
      <c r="I29" s="11"/>
      <c r="J29" s="13"/>
      <c r="K29" s="13"/>
    </row>
    <row r="30" spans="1:11" x14ac:dyDescent="0.25">
      <c r="A30" s="11"/>
      <c r="B30" s="62"/>
      <c r="C30" s="13"/>
      <c r="D30" s="13"/>
      <c r="E30" s="11"/>
      <c r="F30" s="11"/>
      <c r="G30" s="11"/>
      <c r="H30" s="10" t="s">
        <v>191</v>
      </c>
      <c r="I30" s="11"/>
      <c r="J30" s="13"/>
      <c r="K30" s="13"/>
    </row>
    <row r="31" spans="1:11" x14ac:dyDescent="0.25">
      <c r="A31" s="11"/>
      <c r="B31" s="62"/>
      <c r="C31" s="13"/>
      <c r="D31" s="13"/>
      <c r="E31" s="11"/>
      <c r="F31" s="11"/>
      <c r="G31" s="11"/>
      <c r="H31" s="10" t="s">
        <v>192</v>
      </c>
      <c r="I31" s="11"/>
      <c r="J31" s="13"/>
      <c r="K31" s="13"/>
    </row>
    <row r="32" spans="1:11" x14ac:dyDescent="0.25">
      <c r="A32" s="11"/>
      <c r="B32" s="62"/>
      <c r="C32" s="13"/>
      <c r="D32" s="13"/>
      <c r="E32" s="11"/>
      <c r="F32" s="11"/>
      <c r="G32" s="11"/>
      <c r="I32" s="11"/>
      <c r="J32" s="13"/>
      <c r="K32" s="13"/>
    </row>
    <row r="33" spans="1:11" x14ac:dyDescent="0.25">
      <c r="A33" s="11"/>
      <c r="B33" s="62"/>
      <c r="C33" s="13"/>
      <c r="D33" s="13"/>
      <c r="E33" s="11"/>
      <c r="F33" s="11"/>
      <c r="G33" s="11"/>
      <c r="I33" s="11"/>
      <c r="J33" s="13"/>
      <c r="K33" s="13"/>
    </row>
  </sheetData>
  <hyperlinks>
    <hyperlink ref="D9" r:id="rId1" xr:uid="{64DFC255-DBAF-4054-93A9-36CC614A78CE}"/>
    <hyperlink ref="D12" r:id="rId2" xr:uid="{272E241C-BFE4-4E49-9A1B-DE96EA44E234}"/>
    <hyperlink ref="D13" r:id="rId3" xr:uid="{E8F0759C-6D1A-4AE7-A6D0-EE46DF00FFAD}"/>
    <hyperlink ref="D11" r:id="rId4" xr:uid="{2CF810AA-A8C6-458B-9341-D7E6949EEFEC}"/>
    <hyperlink ref="D16" r:id="rId5" xr:uid="{9F6E951E-44CB-483D-87AC-D62242C83A90}"/>
    <hyperlink ref="D6" r:id="rId6" xr:uid="{60B39D87-F30D-4BFE-A58B-D2DA44D1E8A0}"/>
    <hyperlink ref="D8" r:id="rId7" xr:uid="{3536A241-BF64-44F8-8231-CA34EAE60802}"/>
    <hyperlink ref="D7" r:id="rId8" xr:uid="{155A261C-6AE9-4123-9449-18FF5B63D659}"/>
    <hyperlink ref="D4" r:id="rId9" xr:uid="{51981EBA-1003-49DB-AD73-A2A1435F72DE}"/>
    <hyperlink ref="D5" r:id="rId10" xr:uid="{F3794AA5-0895-4939-96FD-903582FC0599}"/>
    <hyperlink ref="D14" r:id="rId11" xr:uid="{996585EE-9E1F-4E6B-AC07-134F58FF66C2}"/>
    <hyperlink ref="D15" r:id="rId12" xr:uid="{CCA4374C-132E-4D3E-8626-3DACE6FE5F75}"/>
    <hyperlink ref="D17" r:id="rId13" xr:uid="{9900F744-E411-4048-9C55-9D5CE4E6D1FE}"/>
    <hyperlink ref="D18" r:id="rId14" xr:uid="{1E9E9960-0CEC-4730-AEBA-9BE03ADFE337}"/>
    <hyperlink ref="D19" r:id="rId15" xr:uid="{2A1EC84E-F0A6-41CC-A0DA-3BD922BF7223}"/>
    <hyperlink ref="D20" r:id="rId16" xr:uid="{44F320DB-809C-45AB-89B2-788FF7F04021}"/>
    <hyperlink ref="D21" r:id="rId17" xr:uid="{62E2BE8C-6DC5-4164-BA23-0F666B88D9C1}"/>
    <hyperlink ref="D22" r:id="rId18" xr:uid="{CFF1B03C-BB41-4D78-BE5C-6E2915C8D14D}"/>
    <hyperlink ref="D23" r:id="rId19" xr:uid="{DFF095EF-5290-4841-8581-A64FFA7A833E}"/>
    <hyperlink ref="D24" r:id="rId20" xr:uid="{326048EB-25A7-4996-9E75-CEE463B138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Traslado Externo-PrestamoENcasa</vt:lpstr>
      <vt:lpstr>DATOS</vt:lpstr>
      <vt:lpstr>'Traslado Externo-PrestamoENcasa'!Área_de_impresión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Doris Curvo</dc:creator>
  <cp:lastModifiedBy>Alejandro Suarez</cp:lastModifiedBy>
  <cp:lastPrinted>2018-11-30T15:00:25Z</cp:lastPrinted>
  <dcterms:created xsi:type="dcterms:W3CDTF">2009-02-24T17:57:14Z</dcterms:created>
  <dcterms:modified xsi:type="dcterms:W3CDTF">2024-02-04T16:21:26Z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